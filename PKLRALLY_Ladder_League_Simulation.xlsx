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It Works" sheetId="1" state="visible" r:id="rId3"/>
    <sheet name="Round by Round" sheetId="2" state="visible" r:id="rId4"/>
    <sheet name="Standings" sheetId="3" state="visible" r:id="rId5"/>
    <sheet name="Partner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<sst xmlns="http://schemas.openxmlformats.org/spreadsheetml/2006/main" count="428" uniqueCount="263">
  <si>
    <t xml:space="preserve">PKLRALLY — Ladder League Night</t>
  </si>
  <si>
    <t xml:space="preserve">King of the Court format - simulated example (20 players, 4 courts, 10 rounds)</t>
  </si>
  <si>
    <t xml:space="preserve">THE SETUP</t>
  </si>
  <si>
    <t xml:space="preserve">Players</t>
  </si>
  <si>
    <t xml:space="preserve">Everyone signed up for this league</t>
  </si>
  <si>
    <t xml:space="preserve">Courts</t>
  </si>
  <si>
    <t xml:space="preserve">Court 1 = 'King court' (top), Court 4 = bottom</t>
  </si>
  <si>
    <t xml:space="preserve">Players on bye each round</t>
  </si>
  <si>
    <t xml:space="preserve">20 players - 16 playing (4 courts x 4) = 4 sit out</t>
  </si>
  <si>
    <t xml:space="preserve">Rounds</t>
  </si>
  <si>
    <t xml:space="preserve">Set by the league admin when the league is created</t>
  </si>
  <si>
    <t xml:space="preserve">THE MATH PER PLAYER</t>
  </si>
  <si>
    <t xml:space="preserve">Games each player plays</t>
  </si>
  <si>
    <t xml:space="preserve">10 rounds - 2 byes = 8 games</t>
  </si>
  <si>
    <t xml:space="preserve">Byes each player sits</t>
  </si>
  <si>
    <t xml:space="preserve">40 bye-slots (10 rounds x 4) / 20 players = exactly 2 each</t>
  </si>
  <si>
    <t xml:space="preserve">Total games on the night</t>
  </si>
  <si>
    <t xml:space="preserve">10 rounds x 4 courts</t>
  </si>
  <si>
    <t xml:space="preserve">BYES — SCHEDULED ROTATION</t>
  </si>
  <si>
    <t xml:space="preserve">How byes are assigned</t>
  </si>
  <si>
    <t xml:space="preserve">fixed rotation</t>
  </si>
  <si>
    <t xml:space="preserve">20 players split into 5 groups of 4</t>
  </si>
  <si>
    <t xml:space="preserve">When each group sits</t>
  </si>
  <si>
    <t xml:space="preserve">round g and g+5</t>
  </si>
  <si>
    <t xml:space="preserve">Group 1 sits R1 &amp; R6, Group 2 sits R2 &amp; R7, etc.</t>
  </si>
  <si>
    <t xml:space="preserve">Why not 'losers sit'</t>
  </si>
  <si>
    <t xml:space="preserve">unfair</t>
  </si>
  <si>
    <t xml:space="preserve">Letting losses send you to the bench means weak</t>
  </si>
  <si>
    <t xml:space="preserve">players get stuck on the bench. A fixed rotation</t>
  </si>
  <si>
    <t xml:space="preserve">guarantees everyone gets the same 8 games.</t>
  </si>
  <si>
    <t xml:space="preserve">SCORING</t>
  </si>
  <si>
    <t xml:space="preserve">Winning team</t>
  </si>
  <si>
    <t xml:space="preserve">score + 10</t>
  </si>
  <si>
    <t xml:space="preserve">Each winner gets their game score PLUS a 10-pt bonus</t>
  </si>
  <si>
    <t xml:space="preserve">Losing team</t>
  </si>
  <si>
    <t xml:space="preserve">score only</t>
  </si>
  <si>
    <t xml:space="preserve">Each loser gets just the points they earned in the game</t>
  </si>
  <si>
    <t xml:space="preserve">Example: an 11-7 game</t>
  </si>
  <si>
    <t xml:space="preserve">Winners +21 each  -  Losers +7 each</t>
  </si>
  <si>
    <t xml:space="preserve">Final ranking</t>
  </si>
  <si>
    <t xml:space="preserve">total points</t>
  </si>
  <si>
    <t xml:space="preserve">Add every round; highest total wins the night</t>
  </si>
  <si>
    <t xml:space="preserve">COURT MOVEMENT (after every round)</t>
  </si>
  <si>
    <t xml:space="preserve">Court 1 winners</t>
  </si>
  <si>
    <t xml:space="preserve">stay on Court 1</t>
  </si>
  <si>
    <t xml:space="preserve">Defend the King court</t>
  </si>
  <si>
    <t xml:space="preserve">Court 1 losers</t>
  </si>
  <si>
    <t xml:space="preserve">down to Court 2</t>
  </si>
  <si>
    <t xml:space="preserve">Courts 2 &amp; 3 winners</t>
  </si>
  <si>
    <t xml:space="preserve">up one court</t>
  </si>
  <si>
    <t xml:space="preserve">Courts 2 &amp; 3 losers</t>
  </si>
  <si>
    <t xml:space="preserve">down one court</t>
  </si>
  <si>
    <t xml:space="preserve">Court 4 winners</t>
  </si>
  <si>
    <t xml:space="preserve">up to Court 3</t>
  </si>
  <si>
    <t xml:space="preserve">Court 4 losers</t>
  </si>
  <si>
    <t xml:space="preserve">stay on Court 4</t>
  </si>
  <si>
    <t xml:space="preserve">Bye players re-enter at their held ladder slot</t>
  </si>
  <si>
    <t xml:space="preserve">PARTNER ROTATION</t>
  </si>
  <si>
    <t xml:space="preserve">Repeat partnerships all night</t>
  </si>
  <si>
    <t xml:space="preserve">On each court the 4 players are split into the team pairing</t>
  </si>
  <si>
    <t xml:space="preserve">that avoids past partners - players keep getting fresh</t>
  </si>
  <si>
    <t xml:space="preserve">partners. A handful of repeats late in the night is normal.</t>
  </si>
  <si>
    <t xml:space="preserve">Round-by-Round Results</t>
  </si>
  <si>
    <t xml:space="preserve">Scores are simulation inputs (blue). Court 1 = King court (highlighted).</t>
  </si>
  <si>
    <t xml:space="preserve">ROUND 1</t>
  </si>
  <si>
    <t xml:space="preserve">On bye: Jamie Cole, Avery Park, Chris Hale, Sarah Klein</t>
  </si>
  <si>
    <t xml:space="preserve">Court</t>
  </si>
  <si>
    <t xml:space="preserve">Team A</t>
  </si>
  <si>
    <t xml:space="preserve">Pts A</t>
  </si>
  <si>
    <t xml:space="preserve">Pts B</t>
  </si>
  <si>
    <t xml:space="preserve">Team B</t>
  </si>
  <si>
    <t xml:space="preserve">Result</t>
  </si>
  <si>
    <t xml:space="preserve">Court 1</t>
  </si>
  <si>
    <t xml:space="preserve">Casey Rivera + Taylor Chen</t>
  </si>
  <si>
    <t xml:space="preserve">vs</t>
  </si>
  <si>
    <t xml:space="preserve">Riley Foster + Sam Brennan</t>
  </si>
  <si>
    <t xml:space="preserve">Winners +21 ea / Losers +6 ea</t>
  </si>
  <si>
    <t xml:space="preserve">Court 2</t>
  </si>
  <si>
    <t xml:space="preserve">Mike Reynolds + Morgan Davis</t>
  </si>
  <si>
    <t xml:space="preserve">Lee Sutton + Robin Vance</t>
  </si>
  <si>
    <t xml:space="preserve">Winners +21 ea / Losers +8 ea</t>
  </si>
  <si>
    <t xml:space="preserve">Court 3</t>
  </si>
  <si>
    <t xml:space="preserve">Pat Nguyen + Logan Ortiz</t>
  </si>
  <si>
    <t xml:space="preserve">Quinn Webb + Cameron Lee</t>
  </si>
  <si>
    <t xml:space="preserve">Winners +21 ea / Losers +7 ea</t>
  </si>
  <si>
    <t xml:space="preserve">Court 4</t>
  </si>
  <si>
    <t xml:space="preserve">Jordan Tan + Alex Martinez</t>
  </si>
  <si>
    <t xml:space="preserve">Drew Kim + Dana Wood</t>
  </si>
  <si>
    <t xml:space="preserve">ROUND 2</t>
  </si>
  <si>
    <t xml:space="preserve">On bye: Lee Sutton, Pat Nguyen, Jordan Tan, Cameron Lee</t>
  </si>
  <si>
    <t xml:space="preserve">Riley Foster + Jamie Cole</t>
  </si>
  <si>
    <t xml:space="preserve">Sam Brennan + Avery Park</t>
  </si>
  <si>
    <t xml:space="preserve">Robin Vance + Casey Rivera</t>
  </si>
  <si>
    <t xml:space="preserve">Chris Hale + Taylor Chen</t>
  </si>
  <si>
    <t xml:space="preserve">Winners +21 ea / Losers +10 ea</t>
  </si>
  <si>
    <t xml:space="preserve">Sarah Klein + Morgan Davis</t>
  </si>
  <si>
    <t xml:space="preserve">Logan Ortiz + Mike Reynolds</t>
  </si>
  <si>
    <t xml:space="preserve">Winners +21 ea / Losers +3 ea</t>
  </si>
  <si>
    <t xml:space="preserve">Alex Martinez + Drew Kim</t>
  </si>
  <si>
    <t xml:space="preserve">Quinn Webb + Dana Wood</t>
  </si>
  <si>
    <t xml:space="preserve">ROUND 3</t>
  </si>
  <si>
    <t xml:space="preserve">On bye: Sam Brennan, Mike Reynolds, Casey Rivera, Dana Wood</t>
  </si>
  <si>
    <t xml:space="preserve">Avery Park + Chris Hale</t>
  </si>
  <si>
    <t xml:space="preserve">Lee Sutton + Taylor Chen</t>
  </si>
  <si>
    <t xml:space="preserve">Riley Foster + Logan Ortiz</t>
  </si>
  <si>
    <t xml:space="preserve">Jamie Cole + Pat Nguyen</t>
  </si>
  <si>
    <t xml:space="preserve">Robin Vance + Quinn Webb</t>
  </si>
  <si>
    <t xml:space="preserve">Jordan Tan + Sarah Klein</t>
  </si>
  <si>
    <t xml:space="preserve">Morgan Davis + Drew Kim</t>
  </si>
  <si>
    <t xml:space="preserve">Cameron Lee + Alex Martinez</t>
  </si>
  <si>
    <t xml:space="preserve">ROUND 4</t>
  </si>
  <si>
    <t xml:space="preserve">On bye: Taylor Chen, Drew Kim, Robin Vance, Alex Martinez</t>
  </si>
  <si>
    <t xml:space="preserve">Avery Park + Riley Foster</t>
  </si>
  <si>
    <t xml:space="preserve">Sam Brennan + Chris Hale</t>
  </si>
  <si>
    <t xml:space="preserve">Winners +21 ea / Losers +9 ea</t>
  </si>
  <si>
    <t xml:space="preserve">Logan Ortiz + Lee Sutton</t>
  </si>
  <si>
    <t xml:space="preserve">Jordan Tan + Mike Reynolds</t>
  </si>
  <si>
    <t xml:space="preserve">Sarah Klein + Jamie Cole</t>
  </si>
  <si>
    <t xml:space="preserve">Casey Rivera + Pat Nguyen</t>
  </si>
  <si>
    <t xml:space="preserve">Morgan Davis + Quinn Webb</t>
  </si>
  <si>
    <t xml:space="preserve">Dana Wood + Cameron Lee</t>
  </si>
  <si>
    <t xml:space="preserve">ROUND 5</t>
  </si>
  <si>
    <t xml:space="preserve">On bye: Riley Foster, Logan Ortiz, Morgan Davis, Quinn Webb</t>
  </si>
  <si>
    <t xml:space="preserve">Sam Brennan + Mike Reynolds</t>
  </si>
  <si>
    <t xml:space="preserve">Chris Hale + Jordan Tan</t>
  </si>
  <si>
    <t xml:space="preserve">Avery Park + Casey Rivera</t>
  </si>
  <si>
    <t xml:space="preserve">Taylor Chen + Pat Nguyen</t>
  </si>
  <si>
    <t xml:space="preserve">Lee Sutton + Dana Wood</t>
  </si>
  <si>
    <t xml:space="preserve">Cameron Lee + Drew Kim</t>
  </si>
  <si>
    <t xml:space="preserve">Winners +21 ea / Losers +4 ea</t>
  </si>
  <si>
    <t xml:space="preserve">Sarah Klein + Robin Vance</t>
  </si>
  <si>
    <t xml:space="preserve">Jamie Cole + Alex Martinez</t>
  </si>
  <si>
    <t xml:space="preserve">ROUND 6</t>
  </si>
  <si>
    <t xml:space="preserve">On bye: Chris Hale, Avery Park, Jamie Cole, Sarah Klein</t>
  </si>
  <si>
    <t xml:space="preserve">Sam Brennan + Taylor Chen</t>
  </si>
  <si>
    <t xml:space="preserve">Mike Reynolds + Pat Nguyen</t>
  </si>
  <si>
    <t xml:space="preserve">Riley Foster + Lee Sutton</t>
  </si>
  <si>
    <t xml:space="preserve">Jordan Tan + Dana Wood</t>
  </si>
  <si>
    <t xml:space="preserve">Logan Ortiz + Cameron Lee</t>
  </si>
  <si>
    <t xml:space="preserve">Casey Rivera + Alex Martinez</t>
  </si>
  <si>
    <t xml:space="preserve">Drew Kim + Quinn Webb</t>
  </si>
  <si>
    <t xml:space="preserve">Morgan Davis + Robin Vance</t>
  </si>
  <si>
    <t xml:space="preserve">Winners +21 ea / Losers +5 ea</t>
  </si>
  <si>
    <t xml:space="preserve">ROUND 7</t>
  </si>
  <si>
    <t xml:space="preserve">Taylor Chen + Riley Foster</t>
  </si>
  <si>
    <t xml:space="preserve">Mike Reynolds + Casey Rivera</t>
  </si>
  <si>
    <t xml:space="preserve">Alex Martinez + Avery Park</t>
  </si>
  <si>
    <t xml:space="preserve">Dana Wood + Morgan Davis</t>
  </si>
  <si>
    <t xml:space="preserve">Jamie Cole + Robin Vance</t>
  </si>
  <si>
    <t xml:space="preserve">Logan Ortiz + Quinn Webb</t>
  </si>
  <si>
    <t xml:space="preserve">Sarah Klein + Drew Kim</t>
  </si>
  <si>
    <t xml:space="preserve">ROUND 8</t>
  </si>
  <si>
    <t xml:space="preserve">On bye: Mike Reynolds, Casey Rivera, Sam Brennan, Dana Wood</t>
  </si>
  <si>
    <t xml:space="preserve">Taylor Chen + Lee Sutton</t>
  </si>
  <si>
    <t xml:space="preserve">Riley Foster + Pat Nguyen</t>
  </si>
  <si>
    <t xml:space="preserve">Chris Hale + Jamie Cole</t>
  </si>
  <si>
    <t xml:space="preserve">Robin Vance + Jordan Tan</t>
  </si>
  <si>
    <t xml:space="preserve">Alex Martinez + Sarah Klein</t>
  </si>
  <si>
    <t xml:space="preserve">Avery Park + Drew Kim</t>
  </si>
  <si>
    <t xml:space="preserve">Cameron Lee + Morgan Davis</t>
  </si>
  <si>
    <t xml:space="preserve">ROUND 9</t>
  </si>
  <si>
    <t xml:space="preserve">On bye: Taylor Chen, Alex Martinez, Robin Vance, Drew Kim</t>
  </si>
  <si>
    <t xml:space="preserve">Lee Sutton + Chris Hale</t>
  </si>
  <si>
    <t xml:space="preserve">Mike Reynolds + Jamie Cole</t>
  </si>
  <si>
    <t xml:space="preserve">Casey Rivera + Riley Foster</t>
  </si>
  <si>
    <t xml:space="preserve">Sam Brennan + Pat Nguyen</t>
  </si>
  <si>
    <t xml:space="preserve">Sarah Klein + Cameron Lee</t>
  </si>
  <si>
    <t xml:space="preserve">Jordan Tan + Morgan Davis</t>
  </si>
  <si>
    <t xml:space="preserve">Dana Wood + Logan Ortiz</t>
  </si>
  <si>
    <t xml:space="preserve">Avery Park + Quinn Webb</t>
  </si>
  <si>
    <t xml:space="preserve">ROUND 10</t>
  </si>
  <si>
    <t xml:space="preserve">On bye: Riley Foster, Morgan Davis, Logan Ortiz, Quinn Webb</t>
  </si>
  <si>
    <t xml:space="preserve">Mike Reynolds + Taylor Chen</t>
  </si>
  <si>
    <t xml:space="preserve">Jamie Cole + Casey Rivera</t>
  </si>
  <si>
    <t xml:space="preserve">Lee Sutton + Jordan Tan</t>
  </si>
  <si>
    <t xml:space="preserve">Chris Hale + Alex Martinez</t>
  </si>
  <si>
    <t xml:space="preserve">Sam Brennan + Dana Wood</t>
  </si>
  <si>
    <t xml:space="preserve">Robin Vance + Pat Nguyen</t>
  </si>
  <si>
    <t xml:space="preserve">Cameron Lee + Avery Park</t>
  </si>
  <si>
    <t xml:space="preserve">Standings — Final Point Totals</t>
  </si>
  <si>
    <t xml:space="preserve">Per-round points are simulation inputs (blue). Total / Rank / Games are live formulas.</t>
  </si>
  <si>
    <t xml:space="preserve">Rank</t>
  </si>
  <si>
    <t xml:space="preserve">Player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</si>
  <si>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</si>
  <si>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</si>
  <si>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</si>
  <si>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</si>
  <si>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</si>
  <si>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</si>
  <si>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</si>
  <si>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</si>
  <si>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</si>
  <si>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</si>
  <si>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Total</t>
  </si>
  <si>
    <t xml:space="preserve">Games</t>
  </si>
  <si>
    <t xml:space="preserve">Wins</t>
  </si>
  <si>
    <t xml:space="preserve">Losses</t>
  </si>
  <si>
    <t xml:space="preserve">Byes</t>
  </si>
  <si>
    <t xml:space="preserve">Casey Rivera</t>
  </si>
  <si>
    <t xml:space="preserve">Jamie Cole</t>
  </si>
  <si>
    <t xml:space="preserve">Riley Foster</t>
  </si>
  <si>
    <t xml:space="preserve">Sam Brennan</t>
  </si>
  <si>
    <t xml:space="preserve">Chris Hale</t>
  </si>
  <si>
    <t xml:space="preserve">Mike Reynolds</t>
  </si>
  <si>
    <t xml:space="preserve">Alex Martinez</t>
  </si>
  <si>
    <t xml:space="preserve">Taylor Chen</t>
  </si>
  <si>
    <t xml:space="preserve">Logan Ortiz</t>
  </si>
  <si>
    <t xml:space="preserve">Robin Vance</t>
  </si>
  <si>
    <t xml:space="preserve">Sarah Klein</t>
  </si>
  <si>
    <t xml:space="preserve">Pat Nguyen</t>
  </si>
  <si>
    <t xml:space="preserve">Jordan Tan</t>
  </si>
  <si>
    <t xml:space="preserve">Morgan Davis</t>
  </si>
  <si>
    <t xml:space="preserve">Dana Wood</t>
  </si>
  <si>
    <t xml:space="preserve">Lee Sutton</t>
  </si>
  <si>
    <t xml:space="preserve">Drew Kim</t>
  </si>
  <si>
    <t xml:space="preserve">Avery Park</t>
  </si>
  <si>
    <t xml:space="preserve">Cameron Lee</t>
  </si>
  <si>
    <t xml:space="preserve">Quinn Webb</t>
  </si>
  <si>
    <t xml:space="preserve">Totals (sanity check):</t>
  </si>
  <si>
    <t xml:space="preserve">Expected: Games 160 (20x8)  -  Wins 80  -  Losses 80  -  Byes 40 (20x2)</t>
  </si>
  <si>
    <t xml:space="preserve">Partner Matrix — who partnered whom</t>
  </si>
  <si>
    <t xml:space="preserve">Each cell = times those two players were teammates. Repeat partnerships all night: 4.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</si>
  <si>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</si>
  <si>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</si>
  <si>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</si>
  <si>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</si>
  <si>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</si>
  <si>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</si>
  <si>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</si>
  <si>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</si>
  <si>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</si>
  <si>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</si>
  <si>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</si>
  <si>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</si>
  <si>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</si>
  <si>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</si>
  <si>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</si>
  <si>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</si>
  <si>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</si>
  <si>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</si>
  <si>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</si>
  <si>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</si>
  <si>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P1  Sarah Klein</t>
  </si>
  <si>
    <t xml:space="preserve">P2  Mike Reynolds</t>
  </si>
  <si>
    <t xml:space="preserve">P3  Jordan Tan</t>
  </si>
  <si>
    <t xml:space="preserve">P4  Alex Martinez</t>
  </si>
  <si>
    <t xml:space="preserve">P5  Taylor Chen</t>
  </si>
  <si>
    <t xml:space="preserve">P6  Morgan Davis</t>
  </si>
  <si>
    <t xml:space="preserve">P7  Casey Rivera</t>
  </si>
  <si>
    <t xml:space="preserve">P8  Avery Park</t>
  </si>
  <si>
    <t xml:space="preserve">P9  Riley Foster</t>
  </si>
  <si>
    <t xml:space="preserve">P10  Cameron Lee</t>
  </si>
  <si>
    <t xml:space="preserve">P11  Quinn Webb</t>
  </si>
  <si>
    <t xml:space="preserve">P12  Sam Brennan</t>
  </si>
  <si>
    <t xml:space="preserve">P13  Drew Kim</t>
  </si>
  <si>
    <t xml:space="preserve">P14  Logan Ortiz</t>
  </si>
  <si>
    <t xml:space="preserve">P15  Jamie Cole</t>
  </si>
  <si>
    <t xml:space="preserve">P16  Pat Nguyen</t>
  </si>
  <si>
    <t xml:space="preserve">P17  Chris Hale</t>
  </si>
  <si>
    <t xml:space="preserve">P18  Dana Wood</t>
  </si>
  <si>
    <t xml:space="preserve">P19  Lee Sutton</t>
  </si>
  <si>
    <t xml:space="preserve">P20  Robin Vance</t>
  </si>
  <si>
    <t xml:space="preserve">Pink = partnered more than once.   Green = partnered once.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</si>
</sst>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9900"/>
      <name val="Arial"/>
      <family val="0"/>
      <charset val="1"/>
    </font>
    <font>
      <i val="true"/>
      <sz val="10"/>
      <color rgb="FF7171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5C9900"/>
      <name val="Arial"/>
      <family val="0"/>
      <charset val="1"/>
    </font>
    <font>
      <sz val="9"/>
      <color rgb="FF52525B"/>
      <name val="Arial"/>
      <family val="0"/>
      <charset val="1"/>
    </font>
    <font>
      <i val="true"/>
      <sz val="9"/>
      <color rgb="FF71717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A1A1AA"/>
      <name val="Arial"/>
      <family val="0"/>
      <charset val="1"/>
    </font>
    <font>
      <sz val="8"/>
      <color rgb="FF5C99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5C9900"/>
      <name val="Arial"/>
      <family val="0"/>
      <charset val="1"/>
    </font>
    <font>
      <i val="true"/>
      <sz val="8"/>
      <color rgb="FFA1A1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92A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1B1B"/>
        <bgColor rgb="FF333300"/>
      </patternFill>
    </fill>
    <fill>
      <patternFill patternType="solid">
        <fgColor rgb="FF5C9900"/>
        <bgColor rgb="FF339966"/>
      </patternFill>
    </fill>
    <fill>
      <patternFill patternType="solid">
        <fgColor rgb="FFF0FCD3"/>
        <bgColor rgb="FFFFF3C4"/>
      </patternFill>
    </fill>
    <fill>
      <patternFill patternType="solid">
        <fgColor rgb="FFFFF3C4"/>
        <bgColor rgb="FFF0FCD3"/>
      </patternFill>
    </fill>
    <fill>
      <patternFill patternType="solid">
        <fgColor rgb="FFFFC9C9"/>
        <bgColor rgb="FFD4D4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C9900"/>
      <rgbColor rgb="FF800080"/>
      <rgbColor rgb="FF008080"/>
      <rgbColor rgb="FFC0C0C0"/>
      <rgbColor rgb="FF71717A"/>
      <rgbColor rgb="FF9999FF"/>
      <rgbColor rgb="FF993366"/>
      <rgbColor rgb="FFF0FCD3"/>
      <rgbColor rgb="FFCCFFFF"/>
      <rgbColor rgb="FF660066"/>
      <rgbColor rgb="FFFF8080"/>
      <rgbColor rgb="FF0066CC"/>
      <rgbColor rgb="FFD4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4"/>
      <rgbColor rgb="FF99CCFF"/>
      <rgbColor rgb="FFFF99CC"/>
      <rgbColor rgb="FFCC99FF"/>
      <rgbColor rgb="FFFFC9C9"/>
      <rgbColor rgb="FF3366FF"/>
      <rgbColor rgb="FF33CCCC"/>
      <rgbColor rgb="FF99CC00"/>
      <rgbColor rgb="FFFFCC00"/>
      <rgbColor rgb="FFFF9900"/>
      <rgbColor rgb="FFFF6600"/>
      <rgbColor rgb="FF52525B"/>
      <rgbColor rgb="FFA1A1AA"/>
      <rgbColor rgb="FF003366"/>
      <rgbColor rgb="FF339966"/>
      <rgbColor rgb="FF003300"/>
      <rgbColor rgb="FF333300"/>
      <rgbColor rgb="FFC92A2A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20</v>
      </c>
      <c r="D6" s="7" t="s">
        <v>4</v>
      </c>
    </row>
    <row r="7" customFormat="false" ht="15" hidden="false" customHeight="false" outlineLevel="0" collapsed="false">
      <c r="B7" s="5" t="s">
        <v>5</v>
      </c>
      <c r="C7" s="6" t="n">
        <v>4</v>
      </c>
      <c r="D7" s="7" t="s">
        <v>6</v>
      </c>
    </row>
    <row r="8" customFormat="false" ht="15" hidden="false" customHeight="false" outlineLevel="0" collapsed="false">
      <c r="B8" s="5" t="s">
        <v>7</v>
      </c>
      <c r="C8" s="6" t="n">
        <v>4</v>
      </c>
      <c r="D8" s="7" t="s">
        <v>8</v>
      </c>
    </row>
    <row r="9" customFormat="false" ht="15" hidden="false" customHeight="false" outlineLevel="0" collapsed="false">
      <c r="B9" s="5" t="s">
        <v>9</v>
      </c>
      <c r="C9" s="6" t="n">
        <v>10</v>
      </c>
      <c r="D9" s="7" t="s">
        <v>10</v>
      </c>
    </row>
    <row r="10" customFormat="false" ht="15" hidden="false" customHeight="false" outlineLevel="0" collapsed="false">
      <c r="B10" s="5"/>
      <c r="C10" s="6"/>
      <c r="D10" s="7"/>
    </row>
    <row r="11" customFormat="false" ht="15" hidden="false" customHeight="false" outlineLevel="0" collapsed="false">
      <c r="B11" s="3" t="s">
        <v>11</v>
      </c>
      <c r="C11" s="4"/>
      <c r="D11" s="4"/>
    </row>
    <row r="12" customFormat="false" ht="15" hidden="false" customHeight="false" outlineLevel="0" collapsed="false">
      <c r="B12" s="5" t="s">
        <v>12</v>
      </c>
      <c r="C12" s="6" t="n">
        <v>8</v>
      </c>
      <c r="D12" s="7" t="s">
        <v>13</v>
      </c>
    </row>
    <row r="13" customFormat="false" ht="15" hidden="false" customHeight="false" outlineLevel="0" collapsed="false">
      <c r="B13" s="5" t="s">
        <v>14</v>
      </c>
      <c r="C13" s="6" t="n">
        <v>2</v>
      </c>
      <c r="D13" s="7" t="s">
        <v>15</v>
      </c>
    </row>
    <row r="14" customFormat="false" ht="15" hidden="false" customHeight="false" outlineLevel="0" collapsed="false">
      <c r="B14" s="5" t="s">
        <v>16</v>
      </c>
      <c r="C14" s="6" t="n">
        <v>40</v>
      </c>
      <c r="D14" s="7" t="s">
        <v>17</v>
      </c>
    </row>
    <row r="15" customFormat="false" ht="15" hidden="false" customHeight="false" outlineLevel="0" collapsed="false">
      <c r="B15" s="5"/>
      <c r="C15" s="6"/>
      <c r="D15" s="7"/>
    </row>
    <row r="16" customFormat="false" ht="15" hidden="false" customHeight="false" outlineLevel="0" collapsed="false">
      <c r="B16" s="3" t="s">
        <v>18</v>
      </c>
      <c r="C16" s="4"/>
      <c r="D16" s="4"/>
    </row>
    <row r="17" customFormat="false" ht="15" hidden="false" customHeight="false" outlineLevel="0" collapsed="false">
      <c r="B17" s="5" t="s">
        <v>19</v>
      </c>
      <c r="C17" s="6" t="s">
        <v>20</v>
      </c>
      <c r="D17" s="7" t="s">
        <v>21</v>
      </c>
    </row>
    <row r="18" customFormat="false" ht="15" hidden="false" customHeight="false" outlineLevel="0" collapsed="false">
      <c r="B18" s="5" t="s">
        <v>22</v>
      </c>
      <c r="C18" s="6" t="s">
        <v>23</v>
      </c>
      <c r="D18" s="7" t="s">
        <v>24</v>
      </c>
    </row>
    <row r="19" customFormat="false" ht="15" hidden="false" customHeight="false" outlineLevel="0" collapsed="false">
      <c r="B19" s="5" t="s">
        <v>25</v>
      </c>
      <c r="C19" s="6" t="s">
        <v>26</v>
      </c>
      <c r="D19" s="7" t="s">
        <v>27</v>
      </c>
    </row>
    <row r="20" customFormat="false" ht="15" hidden="false" customHeight="false" outlineLevel="0" collapsed="false">
      <c r="B20" s="5"/>
      <c r="C20" s="6"/>
      <c r="D20" s="7" t="s">
        <v>28</v>
      </c>
    </row>
    <row r="21" customFormat="false" ht="15" hidden="false" customHeight="false" outlineLevel="0" collapsed="false">
      <c r="B21" s="5"/>
      <c r="C21" s="6"/>
      <c r="D21" s="7" t="s">
        <v>29</v>
      </c>
    </row>
    <row r="22" customFormat="false" ht="15" hidden="false" customHeight="false" outlineLevel="0" collapsed="false">
      <c r="B22" s="5"/>
      <c r="C22" s="6"/>
      <c r="D22" s="7"/>
    </row>
    <row r="23" customFormat="false" ht="15" hidden="false" customHeight="false" outlineLevel="0" collapsed="false">
      <c r="B23" s="3" t="s">
        <v>30</v>
      </c>
      <c r="C23" s="4"/>
      <c r="D23" s="4"/>
    </row>
    <row r="24" customFormat="false" ht="15" hidden="false" customHeight="false" outlineLevel="0" collapsed="false">
      <c r="B24" s="5" t="s">
        <v>31</v>
      </c>
      <c r="C24" s="6" t="s">
        <v>32</v>
      </c>
      <c r="D24" s="7" t="s">
        <v>33</v>
      </c>
    </row>
    <row r="25" customFormat="false" ht="15" hidden="false" customHeight="false" outlineLevel="0" collapsed="false">
      <c r="B25" s="5" t="s">
        <v>34</v>
      </c>
      <c r="C25" s="6" t="s">
        <v>35</v>
      </c>
      <c r="D25" s="7" t="s">
        <v>36</v>
      </c>
    </row>
    <row r="26" customFormat="false" ht="15" hidden="false" customHeight="false" outlineLevel="0" collapsed="false">
      <c r="B26" s="5" t="s">
        <v>37</v>
      </c>
      <c r="C26" s="6"/>
      <c r="D26" s="7" t="s">
        <v>38</v>
      </c>
    </row>
    <row r="27" customFormat="false" ht="15" hidden="false" customHeight="false" outlineLevel="0" collapsed="false">
      <c r="B27" s="5" t="s">
        <v>39</v>
      </c>
      <c r="C27" s="6" t="s">
        <v>40</v>
      </c>
      <c r="D27" s="7" t="s">
        <v>41</v>
      </c>
    </row>
    <row r="28" customFormat="false" ht="15" hidden="false" customHeight="false" outlineLevel="0" collapsed="false">
      <c r="B28" s="5"/>
      <c r="C28" s="6"/>
      <c r="D28" s="7"/>
    </row>
    <row r="29" customFormat="false" ht="15" hidden="false" customHeight="false" outlineLevel="0" collapsed="false">
      <c r="B29" s="3" t="s">
        <v>42</v>
      </c>
      <c r="C29" s="4"/>
      <c r="D29" s="4"/>
    </row>
    <row r="30" customFormat="false" ht="15" hidden="false" customHeight="false" outlineLevel="0" collapsed="false">
      <c r="B30" s="5" t="s">
        <v>43</v>
      </c>
      <c r="C30" s="6" t="s">
        <v>44</v>
      </c>
      <c r="D30" s="7" t="s">
        <v>45</v>
      </c>
    </row>
    <row r="31" customFormat="false" ht="15" hidden="false" customHeight="false" outlineLevel="0" collapsed="false">
      <c r="B31" s="5" t="s">
        <v>46</v>
      </c>
      <c r="C31" s="6" t="s">
        <v>47</v>
      </c>
      <c r="D31" s="7"/>
    </row>
    <row r="32" customFormat="false" ht="15" hidden="false" customHeight="false" outlineLevel="0" collapsed="false">
      <c r="B32" s="5" t="s">
        <v>48</v>
      </c>
      <c r="C32" s="6" t="s">
        <v>49</v>
      </c>
      <c r="D32" s="7"/>
    </row>
    <row r="33" customFormat="false" ht="15" hidden="false" customHeight="false" outlineLevel="0" collapsed="false">
      <c r="B33" s="5" t="s">
        <v>50</v>
      </c>
      <c r="C33" s="6" t="s">
        <v>51</v>
      </c>
      <c r="D33" s="7"/>
    </row>
    <row r="34" customFormat="false" ht="15" hidden="false" customHeight="false" outlineLevel="0" collapsed="false">
      <c r="B34" s="5" t="s">
        <v>52</v>
      </c>
      <c r="C34" s="6" t="s">
        <v>53</v>
      </c>
      <c r="D34" s="7"/>
    </row>
    <row r="35" customFormat="false" ht="15" hidden="false" customHeight="false" outlineLevel="0" collapsed="false">
      <c r="B35" s="5" t="s">
        <v>54</v>
      </c>
      <c r="C35" s="6" t="s">
        <v>55</v>
      </c>
      <c r="D35" s="7" t="s">
        <v>56</v>
      </c>
    </row>
    <row r="36" customFormat="false" ht="15" hidden="false" customHeight="false" outlineLevel="0" collapsed="false">
      <c r="B36" s="5"/>
      <c r="C36" s="6"/>
      <c r="D36" s="7"/>
    </row>
    <row r="37" customFormat="false" ht="15" hidden="false" customHeight="false" outlineLevel="0" collapsed="false">
      <c r="B37" s="3" t="s">
        <v>57</v>
      </c>
      <c r="C37" s="4"/>
      <c r="D37" s="4"/>
    </row>
    <row r="38" customFormat="false" ht="15" hidden="false" customHeight="false" outlineLevel="0" collapsed="false">
      <c r="B38" s="5" t="s">
        <v>58</v>
      </c>
      <c r="C38" s="6" t="n">
        <v>4</v>
      </c>
      <c r="D38" s="7" t="s">
        <v>59</v>
      </c>
    </row>
    <row r="39" customFormat="false" ht="15" hidden="false" customHeight="false" outlineLevel="0" collapsed="false">
      <c r="B39" s="5"/>
      <c r="C39" s="6"/>
      <c r="D39" s="7" t="s">
        <v>60</v>
      </c>
    </row>
    <row r="40" customFormat="false" ht="15" hidden="false" customHeight="false" outlineLevel="0" collapsed="false">
      <c r="B40" s="5"/>
      <c r="C40" s="6"/>
      <c r="D40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27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7" min="7" style="0" width="27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1" t="s">
        <v>62</v>
      </c>
    </row>
    <row r="3" customFormat="false" ht="15" hidden="false" customHeight="false" outlineLevel="0" collapsed="false">
      <c r="B3" s="8" t="s">
        <v>63</v>
      </c>
    </row>
    <row r="5" customFormat="false" ht="15" hidden="false" customHeight="false" outlineLevel="0" collapsed="false">
      <c r="B5" s="9" t="s">
        <v>64</v>
      </c>
      <c r="C5" s="4"/>
      <c r="D5" s="10" t="s">
        <v>65</v>
      </c>
      <c r="E5" s="4"/>
      <c r="F5" s="4"/>
      <c r="G5" s="4"/>
      <c r="H5" s="4"/>
    </row>
    <row r="6" customFormat="false" ht="15" hidden="false" customHeight="false" outlineLevel="0" collapsed="false">
      <c r="B6" s="11" t="s">
        <v>66</v>
      </c>
      <c r="C6" s="11" t="s">
        <v>67</v>
      </c>
      <c r="D6" s="11" t="s">
        <v>68</v>
      </c>
      <c r="E6" s="11"/>
      <c r="F6" s="11" t="s">
        <v>69</v>
      </c>
      <c r="G6" s="11" t="s">
        <v>70</v>
      </c>
      <c r="H6" s="11" t="s">
        <v>71</v>
      </c>
    </row>
    <row r="7" customFormat="false" ht="15" hidden="false" customHeight="false" outlineLevel="0" collapsed="false">
      <c r="B7" s="12" t="s">
        <v>72</v>
      </c>
      <c r="C7" s="13" t="s">
        <v>73</v>
      </c>
      <c r="D7" s="14" t="n">
        <v>6</v>
      </c>
      <c r="E7" s="15" t="s">
        <v>74</v>
      </c>
      <c r="F7" s="14" t="n">
        <v>11</v>
      </c>
      <c r="G7" s="12" t="s">
        <v>75</v>
      </c>
      <c r="H7" s="16" t="s">
        <v>76</v>
      </c>
    </row>
    <row r="8" customFormat="false" ht="15" hidden="false" customHeight="false" outlineLevel="0" collapsed="false">
      <c r="B8" s="17" t="s">
        <v>77</v>
      </c>
      <c r="C8" s="18" t="s">
        <v>78</v>
      </c>
      <c r="D8" s="19" t="n">
        <v>8</v>
      </c>
      <c r="E8" s="20" t="s">
        <v>74</v>
      </c>
      <c r="F8" s="19" t="n">
        <v>11</v>
      </c>
      <c r="G8" s="17" t="s">
        <v>79</v>
      </c>
      <c r="H8" s="21" t="s">
        <v>80</v>
      </c>
    </row>
    <row r="9" customFormat="false" ht="15" hidden="false" customHeight="false" outlineLevel="0" collapsed="false">
      <c r="B9" s="17" t="s">
        <v>81</v>
      </c>
      <c r="C9" s="17" t="s">
        <v>82</v>
      </c>
      <c r="D9" s="19" t="n">
        <v>11</v>
      </c>
      <c r="E9" s="20" t="s">
        <v>74</v>
      </c>
      <c r="F9" s="19" t="n">
        <v>7</v>
      </c>
      <c r="G9" s="18" t="s">
        <v>83</v>
      </c>
      <c r="H9" s="21" t="s">
        <v>84</v>
      </c>
    </row>
    <row r="10" customFormat="false" ht="15" hidden="false" customHeight="false" outlineLevel="0" collapsed="false">
      <c r="B10" s="17" t="s">
        <v>85</v>
      </c>
      <c r="C10" s="17" t="s">
        <v>86</v>
      </c>
      <c r="D10" s="19" t="n">
        <v>11</v>
      </c>
      <c r="E10" s="20" t="s">
        <v>74</v>
      </c>
      <c r="F10" s="19" t="n">
        <v>7</v>
      </c>
      <c r="G10" s="18" t="s">
        <v>87</v>
      </c>
      <c r="H10" s="21" t="s">
        <v>84</v>
      </c>
    </row>
    <row r="12" customFormat="false" ht="15" hidden="false" customHeight="false" outlineLevel="0" collapsed="false">
      <c r="B12" s="9" t="s">
        <v>88</v>
      </c>
      <c r="C12" s="4"/>
      <c r="D12" s="10" t="s">
        <v>89</v>
      </c>
      <c r="E12" s="4"/>
      <c r="F12" s="4"/>
      <c r="G12" s="4"/>
      <c r="H12" s="4"/>
    </row>
    <row r="13" customFormat="false" ht="15" hidden="false" customHeight="false" outlineLevel="0" collapsed="false">
      <c r="B13" s="11" t="s">
        <v>66</v>
      </c>
      <c r="C13" s="11" t="s">
        <v>67</v>
      </c>
      <c r="D13" s="11" t="s">
        <v>68</v>
      </c>
      <c r="E13" s="11"/>
      <c r="F13" s="11" t="s">
        <v>69</v>
      </c>
      <c r="G13" s="11" t="s">
        <v>70</v>
      </c>
      <c r="H13" s="11" t="s">
        <v>71</v>
      </c>
    </row>
    <row r="14" customFormat="false" ht="15" hidden="false" customHeight="false" outlineLevel="0" collapsed="false">
      <c r="B14" s="12" t="s">
        <v>72</v>
      </c>
      <c r="C14" s="13" t="s">
        <v>90</v>
      </c>
      <c r="D14" s="14" t="n">
        <v>8</v>
      </c>
      <c r="E14" s="15" t="s">
        <v>74</v>
      </c>
      <c r="F14" s="14" t="n">
        <v>11</v>
      </c>
      <c r="G14" s="12" t="s">
        <v>91</v>
      </c>
      <c r="H14" s="16" t="s">
        <v>80</v>
      </c>
    </row>
    <row r="15" customFormat="false" ht="15" hidden="false" customHeight="false" outlineLevel="0" collapsed="false">
      <c r="B15" s="17" t="s">
        <v>77</v>
      </c>
      <c r="C15" s="18" t="s">
        <v>92</v>
      </c>
      <c r="D15" s="19" t="n">
        <v>10</v>
      </c>
      <c r="E15" s="20" t="s">
        <v>74</v>
      </c>
      <c r="F15" s="19" t="n">
        <v>11</v>
      </c>
      <c r="G15" s="17" t="s">
        <v>93</v>
      </c>
      <c r="H15" s="21" t="s">
        <v>94</v>
      </c>
    </row>
    <row r="16" customFormat="false" ht="15" hidden="false" customHeight="false" outlineLevel="0" collapsed="false">
      <c r="B16" s="17" t="s">
        <v>81</v>
      </c>
      <c r="C16" s="18" t="s">
        <v>95</v>
      </c>
      <c r="D16" s="19" t="n">
        <v>3</v>
      </c>
      <c r="E16" s="20" t="s">
        <v>74</v>
      </c>
      <c r="F16" s="19" t="n">
        <v>11</v>
      </c>
      <c r="G16" s="17" t="s">
        <v>96</v>
      </c>
      <c r="H16" s="21" t="s">
        <v>97</v>
      </c>
    </row>
    <row r="17" customFormat="false" ht="15" hidden="false" customHeight="false" outlineLevel="0" collapsed="false">
      <c r="B17" s="17" t="s">
        <v>85</v>
      </c>
      <c r="C17" s="18" t="s">
        <v>98</v>
      </c>
      <c r="D17" s="19" t="n">
        <v>6</v>
      </c>
      <c r="E17" s="20" t="s">
        <v>74</v>
      </c>
      <c r="F17" s="19" t="n">
        <v>11</v>
      </c>
      <c r="G17" s="17" t="s">
        <v>99</v>
      </c>
      <c r="H17" s="21" t="s">
        <v>76</v>
      </c>
    </row>
    <row r="19" customFormat="false" ht="15" hidden="false" customHeight="false" outlineLevel="0" collapsed="false">
      <c r="B19" s="9" t="s">
        <v>100</v>
      </c>
      <c r="C19" s="4"/>
      <c r="D19" s="10" t="s">
        <v>101</v>
      </c>
      <c r="E19" s="4"/>
      <c r="F19" s="4"/>
      <c r="G19" s="4"/>
      <c r="H19" s="4"/>
    </row>
    <row r="20" customFormat="false" ht="15" hidden="false" customHeight="false" outlineLevel="0" collapsed="false">
      <c r="B20" s="11" t="s">
        <v>66</v>
      </c>
      <c r="C20" s="11" t="s">
        <v>67</v>
      </c>
      <c r="D20" s="11" t="s">
        <v>68</v>
      </c>
      <c r="E20" s="11"/>
      <c r="F20" s="11" t="s">
        <v>69</v>
      </c>
      <c r="G20" s="11" t="s">
        <v>70</v>
      </c>
      <c r="H20" s="11" t="s">
        <v>71</v>
      </c>
    </row>
    <row r="21" customFormat="false" ht="15" hidden="false" customHeight="false" outlineLevel="0" collapsed="false">
      <c r="B21" s="12" t="s">
        <v>72</v>
      </c>
      <c r="C21" s="12" t="s">
        <v>102</v>
      </c>
      <c r="D21" s="14" t="n">
        <v>11</v>
      </c>
      <c r="E21" s="15" t="s">
        <v>74</v>
      </c>
      <c r="F21" s="14" t="n">
        <v>3</v>
      </c>
      <c r="G21" s="13" t="s">
        <v>103</v>
      </c>
      <c r="H21" s="16" t="s">
        <v>97</v>
      </c>
    </row>
    <row r="22" customFormat="false" ht="15" hidden="false" customHeight="false" outlineLevel="0" collapsed="false">
      <c r="B22" s="17" t="s">
        <v>77</v>
      </c>
      <c r="C22" s="17" t="s">
        <v>104</v>
      </c>
      <c r="D22" s="19" t="n">
        <v>11</v>
      </c>
      <c r="E22" s="20" t="s">
        <v>74</v>
      </c>
      <c r="F22" s="19" t="n">
        <v>8</v>
      </c>
      <c r="G22" s="18" t="s">
        <v>105</v>
      </c>
      <c r="H22" s="21" t="s">
        <v>80</v>
      </c>
    </row>
    <row r="23" customFormat="false" ht="15" hidden="false" customHeight="false" outlineLevel="0" collapsed="false">
      <c r="B23" s="17" t="s">
        <v>81</v>
      </c>
      <c r="C23" s="18" t="s">
        <v>106</v>
      </c>
      <c r="D23" s="19" t="n">
        <v>6</v>
      </c>
      <c r="E23" s="20" t="s">
        <v>74</v>
      </c>
      <c r="F23" s="19" t="n">
        <v>11</v>
      </c>
      <c r="G23" s="17" t="s">
        <v>107</v>
      </c>
      <c r="H23" s="21" t="s">
        <v>76</v>
      </c>
    </row>
    <row r="24" customFormat="false" ht="15" hidden="false" customHeight="false" outlineLevel="0" collapsed="false">
      <c r="B24" s="17" t="s">
        <v>85</v>
      </c>
      <c r="C24" s="17" t="s">
        <v>108</v>
      </c>
      <c r="D24" s="19" t="n">
        <v>11</v>
      </c>
      <c r="E24" s="20" t="s">
        <v>74</v>
      </c>
      <c r="F24" s="19" t="n">
        <v>6</v>
      </c>
      <c r="G24" s="18" t="s">
        <v>109</v>
      </c>
      <c r="H24" s="21" t="s">
        <v>76</v>
      </c>
    </row>
    <row r="26" customFormat="false" ht="15" hidden="false" customHeight="false" outlineLevel="0" collapsed="false">
      <c r="B26" s="9" t="s">
        <v>110</v>
      </c>
      <c r="C26" s="4"/>
      <c r="D26" s="10" t="s">
        <v>111</v>
      </c>
      <c r="E26" s="4"/>
      <c r="F26" s="4"/>
      <c r="G26" s="4"/>
      <c r="H26" s="4"/>
    </row>
    <row r="27" customFormat="false" ht="15" hidden="false" customHeight="false" outlineLevel="0" collapsed="false">
      <c r="B27" s="11" t="s">
        <v>66</v>
      </c>
      <c r="C27" s="11" t="s">
        <v>67</v>
      </c>
      <c r="D27" s="11" t="s">
        <v>68</v>
      </c>
      <c r="E27" s="11"/>
      <c r="F27" s="11" t="s">
        <v>69</v>
      </c>
      <c r="G27" s="11" t="s">
        <v>70</v>
      </c>
      <c r="H27" s="11" t="s">
        <v>71</v>
      </c>
    </row>
    <row r="28" customFormat="false" ht="15" hidden="false" customHeight="false" outlineLevel="0" collapsed="false">
      <c r="B28" s="12" t="s">
        <v>72</v>
      </c>
      <c r="C28" s="13" t="s">
        <v>112</v>
      </c>
      <c r="D28" s="14" t="n">
        <v>9</v>
      </c>
      <c r="E28" s="15" t="s">
        <v>74</v>
      </c>
      <c r="F28" s="14" t="n">
        <v>11</v>
      </c>
      <c r="G28" s="12" t="s">
        <v>113</v>
      </c>
      <c r="H28" s="16" t="s">
        <v>114</v>
      </c>
    </row>
    <row r="29" customFormat="false" ht="15" hidden="false" customHeight="false" outlineLevel="0" collapsed="false">
      <c r="B29" s="17" t="s">
        <v>77</v>
      </c>
      <c r="C29" s="18" t="s">
        <v>115</v>
      </c>
      <c r="D29" s="19" t="n">
        <v>6</v>
      </c>
      <c r="E29" s="20" t="s">
        <v>74</v>
      </c>
      <c r="F29" s="19" t="n">
        <v>11</v>
      </c>
      <c r="G29" s="17" t="s">
        <v>116</v>
      </c>
      <c r="H29" s="21" t="s">
        <v>76</v>
      </c>
    </row>
    <row r="30" customFormat="false" ht="15" hidden="false" customHeight="false" outlineLevel="0" collapsed="false">
      <c r="B30" s="17" t="s">
        <v>81</v>
      </c>
      <c r="C30" s="18" t="s">
        <v>117</v>
      </c>
      <c r="D30" s="19" t="n">
        <v>10</v>
      </c>
      <c r="E30" s="20" t="s">
        <v>74</v>
      </c>
      <c r="F30" s="19" t="n">
        <v>11</v>
      </c>
      <c r="G30" s="17" t="s">
        <v>118</v>
      </c>
      <c r="H30" s="21" t="s">
        <v>94</v>
      </c>
    </row>
    <row r="31" customFormat="false" ht="15" hidden="false" customHeight="false" outlineLevel="0" collapsed="false">
      <c r="B31" s="17" t="s">
        <v>85</v>
      </c>
      <c r="C31" s="18" t="s">
        <v>119</v>
      </c>
      <c r="D31" s="19" t="n">
        <v>9</v>
      </c>
      <c r="E31" s="20" t="s">
        <v>74</v>
      </c>
      <c r="F31" s="19" t="n">
        <v>11</v>
      </c>
      <c r="G31" s="17" t="s">
        <v>120</v>
      </c>
      <c r="H31" s="21" t="s">
        <v>114</v>
      </c>
    </row>
    <row r="33" customFormat="false" ht="15" hidden="false" customHeight="false" outlineLevel="0" collapsed="false">
      <c r="B33" s="9" t="s">
        <v>121</v>
      </c>
      <c r="C33" s="4"/>
      <c r="D33" s="10" t="s">
        <v>122</v>
      </c>
      <c r="E33" s="4"/>
      <c r="F33" s="4"/>
      <c r="G33" s="4"/>
      <c r="H33" s="4"/>
    </row>
    <row r="34" customFormat="false" ht="15" hidden="false" customHeight="false" outlineLevel="0" collapsed="false">
      <c r="B34" s="11" t="s">
        <v>66</v>
      </c>
      <c r="C34" s="11" t="s">
        <v>67</v>
      </c>
      <c r="D34" s="11" t="s">
        <v>68</v>
      </c>
      <c r="E34" s="11"/>
      <c r="F34" s="11" t="s">
        <v>69</v>
      </c>
      <c r="G34" s="11" t="s">
        <v>70</v>
      </c>
      <c r="H34" s="11" t="s">
        <v>71</v>
      </c>
    </row>
    <row r="35" customFormat="false" ht="15" hidden="false" customHeight="false" outlineLevel="0" collapsed="false">
      <c r="B35" s="12" t="s">
        <v>72</v>
      </c>
      <c r="C35" s="12" t="s">
        <v>123</v>
      </c>
      <c r="D35" s="14" t="n">
        <v>11</v>
      </c>
      <c r="E35" s="15" t="s">
        <v>74</v>
      </c>
      <c r="F35" s="14" t="n">
        <v>7</v>
      </c>
      <c r="G35" s="13" t="s">
        <v>124</v>
      </c>
      <c r="H35" s="16" t="s">
        <v>84</v>
      </c>
    </row>
    <row r="36" customFormat="false" ht="15" hidden="false" customHeight="false" outlineLevel="0" collapsed="false">
      <c r="B36" s="17" t="s">
        <v>77</v>
      </c>
      <c r="C36" s="18" t="s">
        <v>125</v>
      </c>
      <c r="D36" s="19" t="n">
        <v>10</v>
      </c>
      <c r="E36" s="20" t="s">
        <v>74</v>
      </c>
      <c r="F36" s="19" t="n">
        <v>11</v>
      </c>
      <c r="G36" s="17" t="s">
        <v>126</v>
      </c>
      <c r="H36" s="21" t="s">
        <v>94</v>
      </c>
    </row>
    <row r="37" customFormat="false" ht="15" hidden="false" customHeight="false" outlineLevel="0" collapsed="false">
      <c r="B37" s="17" t="s">
        <v>81</v>
      </c>
      <c r="C37" s="17" t="s">
        <v>127</v>
      </c>
      <c r="D37" s="19" t="n">
        <v>11</v>
      </c>
      <c r="E37" s="20" t="s">
        <v>74</v>
      </c>
      <c r="F37" s="19" t="n">
        <v>4</v>
      </c>
      <c r="G37" s="18" t="s">
        <v>128</v>
      </c>
      <c r="H37" s="21" t="s">
        <v>129</v>
      </c>
    </row>
    <row r="38" customFormat="false" ht="15" hidden="false" customHeight="false" outlineLevel="0" collapsed="false">
      <c r="B38" s="17" t="s">
        <v>85</v>
      </c>
      <c r="C38" s="18" t="s">
        <v>130</v>
      </c>
      <c r="D38" s="19" t="n">
        <v>9</v>
      </c>
      <c r="E38" s="20" t="s">
        <v>74</v>
      </c>
      <c r="F38" s="19" t="n">
        <v>11</v>
      </c>
      <c r="G38" s="17" t="s">
        <v>131</v>
      </c>
      <c r="H38" s="21" t="s">
        <v>114</v>
      </c>
    </row>
    <row r="40" customFormat="false" ht="15" hidden="false" customHeight="false" outlineLevel="0" collapsed="false">
      <c r="B40" s="9" t="s">
        <v>132</v>
      </c>
      <c r="C40" s="4"/>
      <c r="D40" s="10" t="s">
        <v>133</v>
      </c>
      <c r="E40" s="4"/>
      <c r="F40" s="4"/>
      <c r="G40" s="4"/>
      <c r="H40" s="4"/>
    </row>
    <row r="41" customFormat="false" ht="15" hidden="false" customHeight="false" outlineLevel="0" collapsed="false">
      <c r="B41" s="11" t="s">
        <v>66</v>
      </c>
      <c r="C41" s="11" t="s">
        <v>67</v>
      </c>
      <c r="D41" s="11" t="s">
        <v>68</v>
      </c>
      <c r="E41" s="11"/>
      <c r="F41" s="11" t="s">
        <v>69</v>
      </c>
      <c r="G41" s="11" t="s">
        <v>70</v>
      </c>
      <c r="H41" s="11" t="s">
        <v>71</v>
      </c>
    </row>
    <row r="42" customFormat="false" ht="15" hidden="false" customHeight="false" outlineLevel="0" collapsed="false">
      <c r="B42" s="12" t="s">
        <v>72</v>
      </c>
      <c r="C42" s="12" t="s">
        <v>134</v>
      </c>
      <c r="D42" s="14" t="n">
        <v>11</v>
      </c>
      <c r="E42" s="15" t="s">
        <v>74</v>
      </c>
      <c r="F42" s="14" t="n">
        <v>6</v>
      </c>
      <c r="G42" s="13" t="s">
        <v>135</v>
      </c>
      <c r="H42" s="16" t="s">
        <v>76</v>
      </c>
    </row>
    <row r="43" customFormat="false" ht="15" hidden="false" customHeight="false" outlineLevel="0" collapsed="false">
      <c r="B43" s="17" t="s">
        <v>77</v>
      </c>
      <c r="C43" s="17" t="s">
        <v>136</v>
      </c>
      <c r="D43" s="19" t="n">
        <v>11</v>
      </c>
      <c r="E43" s="20" t="s">
        <v>74</v>
      </c>
      <c r="F43" s="19" t="n">
        <v>8</v>
      </c>
      <c r="G43" s="18" t="s">
        <v>137</v>
      </c>
      <c r="H43" s="21" t="s">
        <v>80</v>
      </c>
    </row>
    <row r="44" customFormat="false" ht="15" hidden="false" customHeight="false" outlineLevel="0" collapsed="false">
      <c r="B44" s="17" t="s">
        <v>81</v>
      </c>
      <c r="C44" s="18" t="s">
        <v>138</v>
      </c>
      <c r="D44" s="19" t="n">
        <v>7</v>
      </c>
      <c r="E44" s="20" t="s">
        <v>74</v>
      </c>
      <c r="F44" s="19" t="n">
        <v>11</v>
      </c>
      <c r="G44" s="17" t="s">
        <v>139</v>
      </c>
      <c r="H44" s="21" t="s">
        <v>84</v>
      </c>
    </row>
    <row r="45" customFormat="false" ht="15" hidden="false" customHeight="false" outlineLevel="0" collapsed="false">
      <c r="B45" s="17" t="s">
        <v>85</v>
      </c>
      <c r="C45" s="18" t="s">
        <v>140</v>
      </c>
      <c r="D45" s="19" t="n">
        <v>5</v>
      </c>
      <c r="E45" s="20" t="s">
        <v>74</v>
      </c>
      <c r="F45" s="19" t="n">
        <v>11</v>
      </c>
      <c r="G45" s="17" t="s">
        <v>141</v>
      </c>
      <c r="H45" s="21" t="s">
        <v>142</v>
      </c>
    </row>
    <row r="47" customFormat="false" ht="15" hidden="false" customHeight="false" outlineLevel="0" collapsed="false">
      <c r="B47" s="9" t="s">
        <v>143</v>
      </c>
      <c r="C47" s="4"/>
      <c r="D47" s="10" t="s">
        <v>89</v>
      </c>
      <c r="E47" s="4"/>
      <c r="F47" s="4"/>
      <c r="G47" s="4"/>
      <c r="H47" s="4"/>
    </row>
    <row r="48" customFormat="false" ht="15" hidden="false" customHeight="false" outlineLevel="0" collapsed="false">
      <c r="B48" s="11" t="s">
        <v>66</v>
      </c>
      <c r="C48" s="11" t="s">
        <v>67</v>
      </c>
      <c r="D48" s="11" t="s">
        <v>68</v>
      </c>
      <c r="E48" s="11"/>
      <c r="F48" s="11" t="s">
        <v>69</v>
      </c>
      <c r="G48" s="11" t="s">
        <v>70</v>
      </c>
      <c r="H48" s="11" t="s">
        <v>71</v>
      </c>
    </row>
    <row r="49" customFormat="false" ht="15" hidden="false" customHeight="false" outlineLevel="0" collapsed="false">
      <c r="B49" s="12" t="s">
        <v>72</v>
      </c>
      <c r="C49" s="13" t="s">
        <v>113</v>
      </c>
      <c r="D49" s="14" t="n">
        <v>8</v>
      </c>
      <c r="E49" s="15" t="s">
        <v>74</v>
      </c>
      <c r="F49" s="14" t="n">
        <v>11</v>
      </c>
      <c r="G49" s="12" t="s">
        <v>144</v>
      </c>
      <c r="H49" s="16" t="s">
        <v>80</v>
      </c>
    </row>
    <row r="50" customFormat="false" ht="15" hidden="false" customHeight="false" outlineLevel="0" collapsed="false">
      <c r="B50" s="17" t="s">
        <v>77</v>
      </c>
      <c r="C50" s="17" t="s">
        <v>145</v>
      </c>
      <c r="D50" s="19" t="n">
        <v>11</v>
      </c>
      <c r="E50" s="20" t="s">
        <v>74</v>
      </c>
      <c r="F50" s="19" t="n">
        <v>5</v>
      </c>
      <c r="G50" s="18" t="s">
        <v>146</v>
      </c>
      <c r="H50" s="21" t="s">
        <v>142</v>
      </c>
    </row>
    <row r="51" customFormat="false" ht="15" hidden="false" customHeight="false" outlineLevel="0" collapsed="false">
      <c r="B51" s="17" t="s">
        <v>81</v>
      </c>
      <c r="C51" s="18" t="s">
        <v>147</v>
      </c>
      <c r="D51" s="19" t="n">
        <v>6</v>
      </c>
      <c r="E51" s="20" t="s">
        <v>74</v>
      </c>
      <c r="F51" s="19" t="n">
        <v>11</v>
      </c>
      <c r="G51" s="17" t="s">
        <v>148</v>
      </c>
      <c r="H51" s="21" t="s">
        <v>76</v>
      </c>
    </row>
    <row r="52" customFormat="false" ht="15" hidden="false" customHeight="false" outlineLevel="0" collapsed="false">
      <c r="B52" s="17" t="s">
        <v>85</v>
      </c>
      <c r="C52" s="18" t="s">
        <v>149</v>
      </c>
      <c r="D52" s="19" t="n">
        <v>10</v>
      </c>
      <c r="E52" s="20" t="s">
        <v>74</v>
      </c>
      <c r="F52" s="19" t="n">
        <v>11</v>
      </c>
      <c r="G52" s="17" t="s">
        <v>150</v>
      </c>
      <c r="H52" s="21" t="s">
        <v>94</v>
      </c>
    </row>
    <row r="54" customFormat="false" ht="15" hidden="false" customHeight="false" outlineLevel="0" collapsed="false">
      <c r="B54" s="9" t="s">
        <v>151</v>
      </c>
      <c r="C54" s="4"/>
      <c r="D54" s="10" t="s">
        <v>152</v>
      </c>
      <c r="E54" s="4"/>
      <c r="F54" s="4"/>
      <c r="G54" s="4"/>
      <c r="H54" s="4"/>
    </row>
    <row r="55" customFormat="false" ht="15" hidden="false" customHeight="false" outlineLevel="0" collapsed="false">
      <c r="B55" s="11" t="s">
        <v>66</v>
      </c>
      <c r="C55" s="11" t="s">
        <v>67</v>
      </c>
      <c r="D55" s="11" t="s">
        <v>68</v>
      </c>
      <c r="E55" s="11"/>
      <c r="F55" s="11" t="s">
        <v>69</v>
      </c>
      <c r="G55" s="11" t="s">
        <v>70</v>
      </c>
      <c r="H55" s="11" t="s">
        <v>71</v>
      </c>
    </row>
    <row r="56" customFormat="false" ht="15" hidden="false" customHeight="false" outlineLevel="0" collapsed="false">
      <c r="B56" s="12" t="s">
        <v>72</v>
      </c>
      <c r="C56" s="12" t="s">
        <v>153</v>
      </c>
      <c r="D56" s="14" t="n">
        <v>11</v>
      </c>
      <c r="E56" s="15" t="s">
        <v>74</v>
      </c>
      <c r="F56" s="14" t="n">
        <v>8</v>
      </c>
      <c r="G56" s="13" t="s">
        <v>154</v>
      </c>
      <c r="H56" s="16" t="s">
        <v>80</v>
      </c>
    </row>
    <row r="57" customFormat="false" ht="15" hidden="false" customHeight="false" outlineLevel="0" collapsed="false">
      <c r="B57" s="17" t="s">
        <v>77</v>
      </c>
      <c r="C57" s="17" t="s">
        <v>155</v>
      </c>
      <c r="D57" s="19" t="n">
        <v>11</v>
      </c>
      <c r="E57" s="20" t="s">
        <v>74</v>
      </c>
      <c r="F57" s="19" t="n">
        <v>6</v>
      </c>
      <c r="G57" s="18" t="s">
        <v>156</v>
      </c>
      <c r="H57" s="21" t="s">
        <v>76</v>
      </c>
    </row>
    <row r="58" customFormat="false" ht="15" hidden="false" customHeight="false" outlineLevel="0" collapsed="false">
      <c r="B58" s="17" t="s">
        <v>81</v>
      </c>
      <c r="C58" s="17" t="s">
        <v>157</v>
      </c>
      <c r="D58" s="19" t="n">
        <v>11</v>
      </c>
      <c r="E58" s="20" t="s">
        <v>74</v>
      </c>
      <c r="F58" s="19" t="n">
        <v>5</v>
      </c>
      <c r="G58" s="18" t="s">
        <v>158</v>
      </c>
      <c r="H58" s="21" t="s">
        <v>142</v>
      </c>
    </row>
    <row r="59" customFormat="false" ht="15" hidden="false" customHeight="false" outlineLevel="0" collapsed="false">
      <c r="B59" s="17" t="s">
        <v>85</v>
      </c>
      <c r="C59" s="17" t="s">
        <v>159</v>
      </c>
      <c r="D59" s="19" t="n">
        <v>11</v>
      </c>
      <c r="E59" s="20" t="s">
        <v>74</v>
      </c>
      <c r="F59" s="19" t="n">
        <v>8</v>
      </c>
      <c r="G59" s="18" t="s">
        <v>149</v>
      </c>
      <c r="H59" s="21" t="s">
        <v>80</v>
      </c>
    </row>
    <row r="61" customFormat="false" ht="15" hidden="false" customHeight="false" outlineLevel="0" collapsed="false">
      <c r="B61" s="9" t="s">
        <v>160</v>
      </c>
      <c r="C61" s="4"/>
      <c r="D61" s="10" t="s">
        <v>161</v>
      </c>
      <c r="E61" s="4"/>
      <c r="F61" s="4"/>
      <c r="G61" s="4"/>
      <c r="H61" s="4"/>
    </row>
    <row r="62" customFormat="false" ht="15" hidden="false" customHeight="false" outlineLevel="0" collapsed="false">
      <c r="B62" s="11" t="s">
        <v>66</v>
      </c>
      <c r="C62" s="11" t="s">
        <v>67</v>
      </c>
      <c r="D62" s="11" t="s">
        <v>68</v>
      </c>
      <c r="E62" s="11"/>
      <c r="F62" s="11" t="s">
        <v>69</v>
      </c>
      <c r="G62" s="11" t="s">
        <v>70</v>
      </c>
      <c r="H62" s="11" t="s">
        <v>71</v>
      </c>
    </row>
    <row r="63" customFormat="false" ht="15" hidden="false" customHeight="false" outlineLevel="0" collapsed="false">
      <c r="B63" s="12" t="s">
        <v>72</v>
      </c>
      <c r="C63" s="13" t="s">
        <v>162</v>
      </c>
      <c r="D63" s="14" t="n">
        <v>6</v>
      </c>
      <c r="E63" s="15" t="s">
        <v>74</v>
      </c>
      <c r="F63" s="14" t="n">
        <v>11</v>
      </c>
      <c r="G63" s="12" t="s">
        <v>163</v>
      </c>
      <c r="H63" s="16" t="s">
        <v>76</v>
      </c>
    </row>
    <row r="64" customFormat="false" ht="15" hidden="false" customHeight="false" outlineLevel="0" collapsed="false">
      <c r="B64" s="17" t="s">
        <v>77</v>
      </c>
      <c r="C64" s="17" t="s">
        <v>164</v>
      </c>
      <c r="D64" s="19" t="n">
        <v>11</v>
      </c>
      <c r="E64" s="20" t="s">
        <v>74</v>
      </c>
      <c r="F64" s="19" t="n">
        <v>8</v>
      </c>
      <c r="G64" s="18" t="s">
        <v>165</v>
      </c>
      <c r="H64" s="21" t="s">
        <v>80</v>
      </c>
    </row>
    <row r="65" customFormat="false" ht="15" hidden="false" customHeight="false" outlineLevel="0" collapsed="false">
      <c r="B65" s="17" t="s">
        <v>81</v>
      </c>
      <c r="C65" s="18" t="s">
        <v>166</v>
      </c>
      <c r="D65" s="19" t="n">
        <v>8</v>
      </c>
      <c r="E65" s="20" t="s">
        <v>74</v>
      </c>
      <c r="F65" s="19" t="n">
        <v>11</v>
      </c>
      <c r="G65" s="17" t="s">
        <v>167</v>
      </c>
      <c r="H65" s="21" t="s">
        <v>80</v>
      </c>
    </row>
    <row r="66" customFormat="false" ht="15" hidden="false" customHeight="false" outlineLevel="0" collapsed="false">
      <c r="B66" s="17" t="s">
        <v>85</v>
      </c>
      <c r="C66" s="17" t="s">
        <v>168</v>
      </c>
      <c r="D66" s="19" t="n">
        <v>11</v>
      </c>
      <c r="E66" s="20" t="s">
        <v>74</v>
      </c>
      <c r="F66" s="19" t="n">
        <v>6</v>
      </c>
      <c r="G66" s="18" t="s">
        <v>169</v>
      </c>
      <c r="H66" s="21" t="s">
        <v>76</v>
      </c>
    </row>
    <row r="68" customFormat="false" ht="15" hidden="false" customHeight="false" outlineLevel="0" collapsed="false">
      <c r="B68" s="9" t="s">
        <v>170</v>
      </c>
      <c r="C68" s="4"/>
      <c r="D68" s="10" t="s">
        <v>171</v>
      </c>
      <c r="E68" s="4"/>
      <c r="F68" s="4"/>
      <c r="G68" s="4"/>
      <c r="H68" s="4"/>
    </row>
    <row r="69" customFormat="false" ht="15" hidden="false" customHeight="false" outlineLevel="0" collapsed="false">
      <c r="B69" s="11" t="s">
        <v>66</v>
      </c>
      <c r="C69" s="11" t="s">
        <v>67</v>
      </c>
      <c r="D69" s="11" t="s">
        <v>68</v>
      </c>
      <c r="E69" s="11"/>
      <c r="F69" s="11" t="s">
        <v>69</v>
      </c>
      <c r="G69" s="11" t="s">
        <v>70</v>
      </c>
      <c r="H69" s="11" t="s">
        <v>71</v>
      </c>
    </row>
    <row r="70" customFormat="false" ht="15" hidden="false" customHeight="false" outlineLevel="0" collapsed="false">
      <c r="B70" s="12" t="s">
        <v>72</v>
      </c>
      <c r="C70" s="13" t="s">
        <v>172</v>
      </c>
      <c r="D70" s="14" t="n">
        <v>4</v>
      </c>
      <c r="E70" s="15" t="s">
        <v>74</v>
      </c>
      <c r="F70" s="14" t="n">
        <v>11</v>
      </c>
      <c r="G70" s="12" t="s">
        <v>173</v>
      </c>
      <c r="H70" s="16" t="s">
        <v>129</v>
      </c>
    </row>
    <row r="71" customFormat="false" ht="15" hidden="false" customHeight="false" outlineLevel="0" collapsed="false">
      <c r="B71" s="17" t="s">
        <v>77</v>
      </c>
      <c r="C71" s="18" t="s">
        <v>174</v>
      </c>
      <c r="D71" s="19" t="n">
        <v>6</v>
      </c>
      <c r="E71" s="20" t="s">
        <v>74</v>
      </c>
      <c r="F71" s="19" t="n">
        <v>11</v>
      </c>
      <c r="G71" s="17" t="s">
        <v>175</v>
      </c>
      <c r="H71" s="21" t="s">
        <v>76</v>
      </c>
    </row>
    <row r="72" customFormat="false" ht="15" hidden="false" customHeight="false" outlineLevel="0" collapsed="false">
      <c r="B72" s="17" t="s">
        <v>81</v>
      </c>
      <c r="C72" s="18" t="s">
        <v>176</v>
      </c>
      <c r="D72" s="19" t="n">
        <v>5</v>
      </c>
      <c r="E72" s="20" t="s">
        <v>74</v>
      </c>
      <c r="F72" s="19" t="n">
        <v>11</v>
      </c>
      <c r="G72" s="17" t="s">
        <v>177</v>
      </c>
      <c r="H72" s="21" t="s">
        <v>142</v>
      </c>
    </row>
    <row r="73" customFormat="false" ht="15" hidden="false" customHeight="false" outlineLevel="0" collapsed="false">
      <c r="B73" s="17" t="s">
        <v>85</v>
      </c>
      <c r="C73" s="17" t="s">
        <v>150</v>
      </c>
      <c r="D73" s="19" t="n">
        <v>11</v>
      </c>
      <c r="E73" s="20" t="s">
        <v>74</v>
      </c>
      <c r="F73" s="19" t="n">
        <v>6</v>
      </c>
      <c r="G73" s="18" t="s">
        <v>178</v>
      </c>
      <c r="H73" s="2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13" min="4" style="0" width="6"/>
    <col collapsed="false" customWidth="true" hidden="false" outlineLevel="0" max="18" min="14" style="0" width="8"/>
  </cols>
  <sheetData>
    <row r="2" customFormat="false" ht="19.7" hidden="false" customHeight="false" outlineLevel="0" collapsed="false">
      <c r="B2" s="1" t="s">
        <v>179</v>
      </c>
    </row>
    <row r="3" customFormat="false" ht="15" hidden="false" customHeight="false" outlineLevel="0" collapsed="false">
      <c r="B3" s="8" t="s">
        <v>180</v>
      </c>
    </row>
    <row r="5" customFormat="false" ht="26.85" hidden="false" customHeight="false" outlineLevel="0" collapsed="false">
      <c r="B5" s="11" t="s">
        <v>181</v>
      </c>
      <c r="C5" s="11" t="s">
        <v>182</v>
      </c>
      <c r="D5" s="11" t="s">
        <v>183</v>
      </c>
      <c r="E5" s="11" t="s">
        <v>184</v>
      </c>
      <c r="F5" s="11" t="s">
        <v>185</v>
      </c>
      <c r="G5" s="11" t="s">
        <v>186</v>
      </c>
      <c r="H5" s="11" t="s">
        <v>187</v>
      </c>
      <c r="I5" s="11" t="s">
        <v>188</v>
      </c>
      <c r="J5" s="11" t="s">
        <v>189</v>
      </c>
      <c r="K5" s="11" t="s">
        <v>190</v>
      </c>
      <c r="L5" s="11" t="s">
        <v>191</v>
      </c>
      <c r="M5" s="11" t="s">
        <v>192</v>
      </c>
      <c r="N5" s="11" t="s">
        <v>193</v>
      </c>
      <c r="O5" s="11" t="s">
        <v>194</v>
      </c>
      <c r="P5" s="11" t="s">
        <v>195</v>
      </c>
      <c r="Q5" s="11" t="s">
        <v>196</v>
      </c>
      <c r="R5" s="11" t="s">
        <v>197</v>
      </c>
    </row>
    <row r="6" customFormat="false" ht="15" hidden="false" customHeight="false" outlineLevel="0" collapsed="false">
      <c r="B6" s="22" t="n">
        <f aca="false">RANK(N6,$N$6:$N$25)</f>
        <v>1</v>
      </c>
      <c r="C6" s="23" t="s">
        <v>198</v>
      </c>
      <c r="D6" s="24" t="n">
        <v>6</v>
      </c>
      <c r="E6" s="24" t="n">
        <v>10</v>
      </c>
      <c r="F6" s="24" t="n">
        <v>0</v>
      </c>
      <c r="G6" s="24" t="n">
        <v>21</v>
      </c>
      <c r="H6" s="24" t="n">
        <v>10</v>
      </c>
      <c r="I6" s="24" t="n">
        <v>21</v>
      </c>
      <c r="J6" s="24" t="n">
        <v>21</v>
      </c>
      <c r="K6" s="24" t="n">
        <v>0</v>
      </c>
      <c r="L6" s="24" t="n">
        <v>21</v>
      </c>
      <c r="M6" s="24" t="n">
        <v>21</v>
      </c>
      <c r="N6" s="25" t="n">
        <f aca="false">SUM(D6:M6)</f>
        <v>131</v>
      </c>
      <c r="O6" s="26" t="n">
        <f aca="false">COUNTIF(D6:M6,"&gt;0")</f>
        <v>8</v>
      </c>
      <c r="P6" s="27" t="n">
        <v>5</v>
      </c>
      <c r="Q6" s="27" t="n">
        <v>3</v>
      </c>
      <c r="R6" s="27" t="n">
        <v>2</v>
      </c>
    </row>
    <row r="7" customFormat="false" ht="15" hidden="false" customHeight="false" outlineLevel="0" collapsed="false">
      <c r="B7" s="22" t="n">
        <f aca="false">RANK(N7,$N$6:$N$25)</f>
        <v>1</v>
      </c>
      <c r="C7" s="23" t="s">
        <v>199</v>
      </c>
      <c r="D7" s="24" t="n">
        <v>0</v>
      </c>
      <c r="E7" s="24" t="n">
        <v>8</v>
      </c>
      <c r="F7" s="24" t="n">
        <v>8</v>
      </c>
      <c r="G7" s="24" t="n">
        <v>10</v>
      </c>
      <c r="H7" s="24" t="n">
        <v>21</v>
      </c>
      <c r="I7" s="24" t="n">
        <v>0</v>
      </c>
      <c r="J7" s="24" t="n">
        <v>21</v>
      </c>
      <c r="K7" s="24" t="n">
        <v>21</v>
      </c>
      <c r="L7" s="24" t="n">
        <v>21</v>
      </c>
      <c r="M7" s="24" t="n">
        <v>21</v>
      </c>
      <c r="N7" s="25" t="n">
        <f aca="false">SUM(D7:M7)</f>
        <v>131</v>
      </c>
      <c r="O7" s="26" t="n">
        <f aca="false">COUNTIF(D7:M7,"&gt;0")</f>
        <v>8</v>
      </c>
      <c r="P7" s="27" t="n">
        <v>5</v>
      </c>
      <c r="Q7" s="27" t="n">
        <v>3</v>
      </c>
      <c r="R7" s="27" t="n">
        <v>2</v>
      </c>
    </row>
    <row r="8" customFormat="false" ht="15" hidden="false" customHeight="false" outlineLevel="0" collapsed="false">
      <c r="B8" s="22" t="n">
        <f aca="false">RANK(N8,$N$6:$N$25)</f>
        <v>3</v>
      </c>
      <c r="C8" s="23" t="s">
        <v>200</v>
      </c>
      <c r="D8" s="24" t="n">
        <v>21</v>
      </c>
      <c r="E8" s="24" t="n">
        <v>8</v>
      </c>
      <c r="F8" s="24" t="n">
        <v>21</v>
      </c>
      <c r="G8" s="24" t="n">
        <v>9</v>
      </c>
      <c r="H8" s="24" t="n">
        <v>0</v>
      </c>
      <c r="I8" s="24" t="n">
        <v>21</v>
      </c>
      <c r="J8" s="24" t="n">
        <v>21</v>
      </c>
      <c r="K8" s="24" t="n">
        <v>8</v>
      </c>
      <c r="L8" s="24" t="n">
        <v>21</v>
      </c>
      <c r="M8" s="24" t="n">
        <v>0</v>
      </c>
      <c r="N8" s="25" t="n">
        <f aca="false">SUM(D8:M8)</f>
        <v>130</v>
      </c>
      <c r="O8" s="26" t="n">
        <f aca="false">COUNTIF(D8:M8,"&gt;0")</f>
        <v>8</v>
      </c>
      <c r="P8" s="27" t="n">
        <v>5</v>
      </c>
      <c r="Q8" s="27" t="n">
        <v>3</v>
      </c>
      <c r="R8" s="27" t="n">
        <v>2</v>
      </c>
    </row>
    <row r="9" customFormat="false" ht="15" hidden="false" customHeight="false" outlineLevel="0" collapsed="false">
      <c r="B9" s="28" t="n">
        <f aca="false">RANK(N9,$N$6:$N$25)</f>
        <v>4</v>
      </c>
      <c r="C9" s="18" t="s">
        <v>201</v>
      </c>
      <c r="D9" s="29" t="n">
        <v>21</v>
      </c>
      <c r="E9" s="29" t="n">
        <v>21</v>
      </c>
      <c r="F9" s="29" t="n">
        <v>0</v>
      </c>
      <c r="G9" s="29" t="n">
        <v>21</v>
      </c>
      <c r="H9" s="29" t="n">
        <v>21</v>
      </c>
      <c r="I9" s="29" t="n">
        <v>21</v>
      </c>
      <c r="J9" s="29" t="n">
        <v>8</v>
      </c>
      <c r="K9" s="29" t="n">
        <v>0</v>
      </c>
      <c r="L9" s="29" t="n">
        <v>8</v>
      </c>
      <c r="M9" s="29" t="n">
        <v>5</v>
      </c>
      <c r="N9" s="30" t="n">
        <f aca="false">SUM(D9:M9)</f>
        <v>126</v>
      </c>
      <c r="O9" s="31" t="n">
        <f aca="false">COUNTIF(D9:M9,"&gt;0")</f>
        <v>8</v>
      </c>
      <c r="P9" s="32" t="n">
        <v>5</v>
      </c>
      <c r="Q9" s="32" t="n">
        <v>3</v>
      </c>
      <c r="R9" s="32" t="n">
        <v>2</v>
      </c>
    </row>
    <row r="10" customFormat="false" ht="15" hidden="false" customHeight="false" outlineLevel="0" collapsed="false">
      <c r="B10" s="28" t="n">
        <f aca="false">RANK(N10,$N$6:$N$25)</f>
        <v>4</v>
      </c>
      <c r="C10" s="18" t="s">
        <v>202</v>
      </c>
      <c r="D10" s="29" t="n">
        <v>0</v>
      </c>
      <c r="E10" s="29" t="n">
        <v>21</v>
      </c>
      <c r="F10" s="29" t="n">
        <v>21</v>
      </c>
      <c r="G10" s="29" t="n">
        <v>21</v>
      </c>
      <c r="H10" s="29" t="n">
        <v>7</v>
      </c>
      <c r="I10" s="29" t="n">
        <v>0</v>
      </c>
      <c r="J10" s="29" t="n">
        <v>8</v>
      </c>
      <c r="K10" s="29" t="n">
        <v>21</v>
      </c>
      <c r="L10" s="29" t="n">
        <v>6</v>
      </c>
      <c r="M10" s="29" t="n">
        <v>21</v>
      </c>
      <c r="N10" s="30" t="n">
        <f aca="false">SUM(D10:M10)</f>
        <v>126</v>
      </c>
      <c r="O10" s="31" t="n">
        <f aca="false">COUNTIF(D10:M10,"&gt;0")</f>
        <v>8</v>
      </c>
      <c r="P10" s="32" t="n">
        <v>5</v>
      </c>
      <c r="Q10" s="32" t="n">
        <v>3</v>
      </c>
      <c r="R10" s="32" t="n">
        <v>2</v>
      </c>
    </row>
    <row r="11" customFormat="false" ht="15" hidden="false" customHeight="false" outlineLevel="0" collapsed="false">
      <c r="B11" s="28" t="n">
        <f aca="false">RANK(N11,$N$6:$N$25)</f>
        <v>6</v>
      </c>
      <c r="C11" s="18" t="s">
        <v>203</v>
      </c>
      <c r="D11" s="29" t="n">
        <v>8</v>
      </c>
      <c r="E11" s="29" t="n">
        <v>21</v>
      </c>
      <c r="F11" s="29" t="n">
        <v>0</v>
      </c>
      <c r="G11" s="29" t="n">
        <v>21</v>
      </c>
      <c r="H11" s="29" t="n">
        <v>21</v>
      </c>
      <c r="I11" s="29" t="n">
        <v>6</v>
      </c>
      <c r="J11" s="29" t="n">
        <v>21</v>
      </c>
      <c r="K11" s="29" t="n">
        <v>0</v>
      </c>
      <c r="L11" s="29" t="n">
        <v>21</v>
      </c>
      <c r="M11" s="29" t="n">
        <v>4</v>
      </c>
      <c r="N11" s="30" t="n">
        <f aca="false">SUM(D11:M11)</f>
        <v>123</v>
      </c>
      <c r="O11" s="31" t="n">
        <f aca="false">COUNTIF(D11:M11,"&gt;0")</f>
        <v>8</v>
      </c>
      <c r="P11" s="32" t="n">
        <v>5</v>
      </c>
      <c r="Q11" s="32" t="n">
        <v>3</v>
      </c>
      <c r="R11" s="32" t="n">
        <v>2</v>
      </c>
    </row>
    <row r="12" customFormat="false" ht="15" hidden="false" customHeight="false" outlineLevel="0" collapsed="false">
      <c r="B12" s="28" t="n">
        <f aca="false">RANK(N12,$N$6:$N$25)</f>
        <v>7</v>
      </c>
      <c r="C12" s="18" t="s">
        <v>204</v>
      </c>
      <c r="D12" s="29" t="n">
        <v>21</v>
      </c>
      <c r="E12" s="29" t="n">
        <v>6</v>
      </c>
      <c r="F12" s="29" t="n">
        <v>6</v>
      </c>
      <c r="G12" s="29" t="n">
        <v>0</v>
      </c>
      <c r="H12" s="29" t="n">
        <v>21</v>
      </c>
      <c r="I12" s="29" t="n">
        <v>21</v>
      </c>
      <c r="J12" s="29" t="n">
        <v>5</v>
      </c>
      <c r="K12" s="29" t="n">
        <v>21</v>
      </c>
      <c r="L12" s="29" t="n">
        <v>0</v>
      </c>
      <c r="M12" s="29" t="n">
        <v>21</v>
      </c>
      <c r="N12" s="30" t="n">
        <f aca="false">SUM(D12:M12)</f>
        <v>122</v>
      </c>
      <c r="O12" s="31" t="n">
        <f aca="false">COUNTIF(D12:M12,"&gt;0")</f>
        <v>8</v>
      </c>
      <c r="P12" s="32" t="n">
        <v>5</v>
      </c>
      <c r="Q12" s="32" t="n">
        <v>3</v>
      </c>
      <c r="R12" s="32" t="n">
        <v>2</v>
      </c>
    </row>
    <row r="13" customFormat="false" ht="15" hidden="false" customHeight="false" outlineLevel="0" collapsed="false">
      <c r="B13" s="28" t="n">
        <f aca="false">RANK(N13,$N$6:$N$25)</f>
        <v>8</v>
      </c>
      <c r="C13" s="18" t="s">
        <v>205</v>
      </c>
      <c r="D13" s="29" t="n">
        <v>6</v>
      </c>
      <c r="E13" s="29" t="n">
        <v>21</v>
      </c>
      <c r="F13" s="29" t="n">
        <v>3</v>
      </c>
      <c r="G13" s="29" t="n">
        <v>0</v>
      </c>
      <c r="H13" s="29" t="n">
        <v>21</v>
      </c>
      <c r="I13" s="29" t="n">
        <v>21</v>
      </c>
      <c r="J13" s="29" t="n">
        <v>21</v>
      </c>
      <c r="K13" s="29" t="n">
        <v>21</v>
      </c>
      <c r="L13" s="29" t="n">
        <v>0</v>
      </c>
      <c r="M13" s="29" t="n">
        <v>4</v>
      </c>
      <c r="N13" s="30" t="n">
        <f aca="false">SUM(D13:M13)</f>
        <v>118</v>
      </c>
      <c r="O13" s="31" t="n">
        <f aca="false">COUNTIF(D13:M13,"&gt;0")</f>
        <v>8</v>
      </c>
      <c r="P13" s="32" t="n">
        <v>5</v>
      </c>
      <c r="Q13" s="32" t="n">
        <v>3</v>
      </c>
      <c r="R13" s="32" t="n">
        <v>2</v>
      </c>
    </row>
    <row r="14" customFormat="false" ht="15" hidden="false" customHeight="false" outlineLevel="0" collapsed="false">
      <c r="B14" s="28" t="n">
        <f aca="false">RANK(N14,$N$6:$N$25)</f>
        <v>9</v>
      </c>
      <c r="C14" s="18" t="s">
        <v>206</v>
      </c>
      <c r="D14" s="29" t="n">
        <v>21</v>
      </c>
      <c r="E14" s="29" t="n">
        <v>21</v>
      </c>
      <c r="F14" s="29" t="n">
        <v>21</v>
      </c>
      <c r="G14" s="29" t="n">
        <v>6</v>
      </c>
      <c r="H14" s="29" t="n">
        <v>0</v>
      </c>
      <c r="I14" s="29" t="n">
        <v>7</v>
      </c>
      <c r="J14" s="29" t="n">
        <v>10</v>
      </c>
      <c r="K14" s="29" t="n">
        <v>8</v>
      </c>
      <c r="L14" s="29" t="n">
        <v>21</v>
      </c>
      <c r="M14" s="29" t="n">
        <v>0</v>
      </c>
      <c r="N14" s="30" t="n">
        <f aca="false">SUM(D14:M14)</f>
        <v>115</v>
      </c>
      <c r="O14" s="31" t="n">
        <f aca="false">COUNTIF(D14:M14,"&gt;0")</f>
        <v>8</v>
      </c>
      <c r="P14" s="32" t="n">
        <v>4</v>
      </c>
      <c r="Q14" s="32" t="n">
        <v>4</v>
      </c>
      <c r="R14" s="32" t="n">
        <v>2</v>
      </c>
    </row>
    <row r="15" customFormat="false" ht="15" hidden="false" customHeight="false" outlineLevel="0" collapsed="false">
      <c r="B15" s="28" t="n">
        <f aca="false">RANK(N15,$N$6:$N$25)</f>
        <v>9</v>
      </c>
      <c r="C15" s="18" t="s">
        <v>207</v>
      </c>
      <c r="D15" s="29" t="n">
        <v>21</v>
      </c>
      <c r="E15" s="29" t="n">
        <v>10</v>
      </c>
      <c r="F15" s="29" t="n">
        <v>6</v>
      </c>
      <c r="G15" s="29" t="n">
        <v>0</v>
      </c>
      <c r="H15" s="29" t="n">
        <v>9</v>
      </c>
      <c r="I15" s="29" t="n">
        <v>21</v>
      </c>
      <c r="J15" s="29" t="n">
        <v>21</v>
      </c>
      <c r="K15" s="29" t="n">
        <v>6</v>
      </c>
      <c r="L15" s="29" t="n">
        <v>0</v>
      </c>
      <c r="M15" s="29" t="n">
        <v>21</v>
      </c>
      <c r="N15" s="30" t="n">
        <f aca="false">SUM(D15:M15)</f>
        <v>115</v>
      </c>
      <c r="O15" s="31" t="n">
        <f aca="false">COUNTIF(D15:M15,"&gt;0")</f>
        <v>8</v>
      </c>
      <c r="P15" s="32" t="n">
        <v>4</v>
      </c>
      <c r="Q15" s="32" t="n">
        <v>4</v>
      </c>
      <c r="R15" s="32" t="n">
        <v>2</v>
      </c>
    </row>
    <row r="16" customFormat="false" ht="15" hidden="false" customHeight="false" outlineLevel="0" collapsed="false">
      <c r="B16" s="28" t="n">
        <f aca="false">RANK(N16,$N$6:$N$25)</f>
        <v>11</v>
      </c>
      <c r="C16" s="18" t="s">
        <v>208</v>
      </c>
      <c r="D16" s="29" t="n">
        <v>0</v>
      </c>
      <c r="E16" s="29" t="n">
        <v>3</v>
      </c>
      <c r="F16" s="29" t="n">
        <v>21</v>
      </c>
      <c r="G16" s="29" t="n">
        <v>10</v>
      </c>
      <c r="H16" s="29" t="n">
        <v>9</v>
      </c>
      <c r="I16" s="29" t="n">
        <v>0</v>
      </c>
      <c r="J16" s="29" t="n">
        <v>21</v>
      </c>
      <c r="K16" s="29" t="n">
        <v>21</v>
      </c>
      <c r="L16" s="29" t="n">
        <v>8</v>
      </c>
      <c r="M16" s="29" t="n">
        <v>21</v>
      </c>
      <c r="N16" s="30" t="n">
        <f aca="false">SUM(D16:M16)</f>
        <v>114</v>
      </c>
      <c r="O16" s="31" t="n">
        <f aca="false">COUNTIF(D16:M16,"&gt;0")</f>
        <v>8</v>
      </c>
      <c r="P16" s="32" t="n">
        <v>4</v>
      </c>
      <c r="Q16" s="32" t="n">
        <v>4</v>
      </c>
      <c r="R16" s="32" t="n">
        <v>2</v>
      </c>
    </row>
    <row r="17" customFormat="false" ht="15" hidden="false" customHeight="false" outlineLevel="0" collapsed="false">
      <c r="B17" s="28" t="n">
        <f aca="false">RANK(N17,$N$6:$N$25)</f>
        <v>11</v>
      </c>
      <c r="C17" s="18" t="s">
        <v>209</v>
      </c>
      <c r="D17" s="29" t="n">
        <v>21</v>
      </c>
      <c r="E17" s="29" t="n">
        <v>0</v>
      </c>
      <c r="F17" s="29" t="n">
        <v>8</v>
      </c>
      <c r="G17" s="29" t="n">
        <v>21</v>
      </c>
      <c r="H17" s="29" t="n">
        <v>21</v>
      </c>
      <c r="I17" s="29" t="n">
        <v>6</v>
      </c>
      <c r="J17" s="29" t="n">
        <v>0</v>
      </c>
      <c r="K17" s="29" t="n">
        <v>8</v>
      </c>
      <c r="L17" s="29" t="n">
        <v>8</v>
      </c>
      <c r="M17" s="29" t="n">
        <v>21</v>
      </c>
      <c r="N17" s="30" t="n">
        <f aca="false">SUM(D17:M17)</f>
        <v>114</v>
      </c>
      <c r="O17" s="31" t="n">
        <f aca="false">COUNTIF(D17:M17,"&gt;0")</f>
        <v>8</v>
      </c>
      <c r="P17" s="32" t="n">
        <v>4</v>
      </c>
      <c r="Q17" s="32" t="n">
        <v>4</v>
      </c>
      <c r="R17" s="32" t="n">
        <v>2</v>
      </c>
    </row>
    <row r="18" customFormat="false" ht="15" hidden="false" customHeight="false" outlineLevel="0" collapsed="false">
      <c r="B18" s="28" t="n">
        <f aca="false">RANK(N18,$N$6:$N$25)</f>
        <v>13</v>
      </c>
      <c r="C18" s="18" t="s">
        <v>210</v>
      </c>
      <c r="D18" s="29" t="n">
        <v>21</v>
      </c>
      <c r="E18" s="29" t="n">
        <v>0</v>
      </c>
      <c r="F18" s="29" t="n">
        <v>21</v>
      </c>
      <c r="G18" s="29" t="n">
        <v>21</v>
      </c>
      <c r="H18" s="29" t="n">
        <v>7</v>
      </c>
      <c r="I18" s="29" t="n">
        <v>8</v>
      </c>
      <c r="J18" s="29" t="n">
        <v>0</v>
      </c>
      <c r="K18" s="29" t="n">
        <v>6</v>
      </c>
      <c r="L18" s="29" t="n">
        <v>21</v>
      </c>
      <c r="M18" s="29" t="n">
        <v>6</v>
      </c>
      <c r="N18" s="30" t="n">
        <f aca="false">SUM(D18:M18)</f>
        <v>111</v>
      </c>
      <c r="O18" s="31" t="n">
        <f aca="false">COUNTIF(D18:M18,"&gt;0")</f>
        <v>8</v>
      </c>
      <c r="P18" s="32" t="n">
        <v>4</v>
      </c>
      <c r="Q18" s="32" t="n">
        <v>4</v>
      </c>
      <c r="R18" s="32" t="n">
        <v>2</v>
      </c>
    </row>
    <row r="19" customFormat="false" ht="15" hidden="false" customHeight="false" outlineLevel="0" collapsed="false">
      <c r="B19" s="28" t="n">
        <f aca="false">RANK(N19,$N$6:$N$25)</f>
        <v>14</v>
      </c>
      <c r="C19" s="18" t="s">
        <v>211</v>
      </c>
      <c r="D19" s="29" t="n">
        <v>8</v>
      </c>
      <c r="E19" s="29" t="n">
        <v>3</v>
      </c>
      <c r="F19" s="29" t="n">
        <v>21</v>
      </c>
      <c r="G19" s="29" t="n">
        <v>9</v>
      </c>
      <c r="H19" s="29" t="n">
        <v>0</v>
      </c>
      <c r="I19" s="29" t="n">
        <v>21</v>
      </c>
      <c r="J19" s="29" t="n">
        <v>6</v>
      </c>
      <c r="K19" s="29" t="n">
        <v>21</v>
      </c>
      <c r="L19" s="29" t="n">
        <v>21</v>
      </c>
      <c r="M19" s="29" t="n">
        <v>0</v>
      </c>
      <c r="N19" s="30" t="n">
        <f aca="false">SUM(D19:M19)</f>
        <v>110</v>
      </c>
      <c r="O19" s="31" t="n">
        <f aca="false">COUNTIF(D19:M19,"&gt;0")</f>
        <v>8</v>
      </c>
      <c r="P19" s="32" t="n">
        <v>4</v>
      </c>
      <c r="Q19" s="32" t="n">
        <v>4</v>
      </c>
      <c r="R19" s="32" t="n">
        <v>2</v>
      </c>
    </row>
    <row r="20" customFormat="false" ht="15" hidden="false" customHeight="false" outlineLevel="0" collapsed="false">
      <c r="B20" s="28" t="n">
        <f aca="false">RANK(N20,$N$6:$N$25)</f>
        <v>14</v>
      </c>
      <c r="C20" s="18" t="s">
        <v>212</v>
      </c>
      <c r="D20" s="29" t="n">
        <v>7</v>
      </c>
      <c r="E20" s="29" t="n">
        <v>21</v>
      </c>
      <c r="F20" s="29" t="n">
        <v>0</v>
      </c>
      <c r="G20" s="29" t="n">
        <v>21</v>
      </c>
      <c r="H20" s="29" t="n">
        <v>21</v>
      </c>
      <c r="I20" s="29" t="n">
        <v>8</v>
      </c>
      <c r="J20" s="29" t="n">
        <v>6</v>
      </c>
      <c r="K20" s="29" t="n">
        <v>0</v>
      </c>
      <c r="L20" s="29" t="n">
        <v>21</v>
      </c>
      <c r="M20" s="29" t="n">
        <v>5</v>
      </c>
      <c r="N20" s="30" t="n">
        <f aca="false">SUM(D20:M20)</f>
        <v>110</v>
      </c>
      <c r="O20" s="31" t="n">
        <f aca="false">COUNTIF(D20:M20,"&gt;0")</f>
        <v>8</v>
      </c>
      <c r="P20" s="32" t="n">
        <v>4</v>
      </c>
      <c r="Q20" s="32" t="n">
        <v>4</v>
      </c>
      <c r="R20" s="32" t="n">
        <v>2</v>
      </c>
    </row>
    <row r="21" customFormat="false" ht="15" hidden="false" customHeight="false" outlineLevel="0" collapsed="false">
      <c r="B21" s="28" t="n">
        <f aca="false">RANK(N21,$N$6:$N$25)</f>
        <v>16</v>
      </c>
      <c r="C21" s="18" t="s">
        <v>213</v>
      </c>
      <c r="D21" s="29" t="n">
        <v>21</v>
      </c>
      <c r="E21" s="29" t="n">
        <v>0</v>
      </c>
      <c r="F21" s="29" t="n">
        <v>3</v>
      </c>
      <c r="G21" s="29" t="n">
        <v>6</v>
      </c>
      <c r="H21" s="29" t="n">
        <v>21</v>
      </c>
      <c r="I21" s="29" t="n">
        <v>21</v>
      </c>
      <c r="J21" s="29" t="n">
        <v>0</v>
      </c>
      <c r="K21" s="29" t="n">
        <v>21</v>
      </c>
      <c r="L21" s="29" t="n">
        <v>6</v>
      </c>
      <c r="M21" s="29" t="n">
        <v>6</v>
      </c>
      <c r="N21" s="30" t="n">
        <f aca="false">SUM(D21:M21)</f>
        <v>105</v>
      </c>
      <c r="O21" s="31" t="n">
        <f aca="false">COUNTIF(D21:M21,"&gt;0")</f>
        <v>8</v>
      </c>
      <c r="P21" s="32" t="n">
        <v>4</v>
      </c>
      <c r="Q21" s="32" t="n">
        <v>4</v>
      </c>
      <c r="R21" s="32" t="n">
        <v>2</v>
      </c>
    </row>
    <row r="22" customFormat="false" ht="15" hidden="false" customHeight="false" outlineLevel="0" collapsed="false">
      <c r="B22" s="28" t="n">
        <f aca="false">RANK(N22,$N$6:$N$25)</f>
        <v>17</v>
      </c>
      <c r="C22" s="18" t="s">
        <v>214</v>
      </c>
      <c r="D22" s="29" t="n">
        <v>7</v>
      </c>
      <c r="E22" s="29" t="n">
        <v>6</v>
      </c>
      <c r="F22" s="29" t="n">
        <v>21</v>
      </c>
      <c r="G22" s="29" t="n">
        <v>0</v>
      </c>
      <c r="H22" s="29" t="n">
        <v>4</v>
      </c>
      <c r="I22" s="29" t="n">
        <v>5</v>
      </c>
      <c r="J22" s="29" t="n">
        <v>21</v>
      </c>
      <c r="K22" s="29" t="n">
        <v>5</v>
      </c>
      <c r="L22" s="29" t="n">
        <v>0</v>
      </c>
      <c r="M22" s="29" t="n">
        <v>21</v>
      </c>
      <c r="N22" s="30" t="n">
        <f aca="false">SUM(D22:M22)</f>
        <v>90</v>
      </c>
      <c r="O22" s="31" t="n">
        <f aca="false">COUNTIF(D22:M22,"&gt;0")</f>
        <v>8</v>
      </c>
      <c r="P22" s="32" t="n">
        <v>3</v>
      </c>
      <c r="Q22" s="32" t="n">
        <v>5</v>
      </c>
      <c r="R22" s="32" t="n">
        <v>2</v>
      </c>
    </row>
    <row r="23" customFormat="false" ht="15" hidden="false" customHeight="false" outlineLevel="0" collapsed="false">
      <c r="B23" s="28" t="n">
        <f aca="false">RANK(N23,$N$6:$N$25)</f>
        <v>18</v>
      </c>
      <c r="C23" s="18" t="s">
        <v>215</v>
      </c>
      <c r="D23" s="29" t="n">
        <v>0</v>
      </c>
      <c r="E23" s="29" t="n">
        <v>21</v>
      </c>
      <c r="F23" s="29" t="n">
        <v>21</v>
      </c>
      <c r="G23" s="29" t="n">
        <v>9</v>
      </c>
      <c r="H23" s="29" t="n">
        <v>10</v>
      </c>
      <c r="I23" s="29" t="n">
        <v>0</v>
      </c>
      <c r="J23" s="29" t="n">
        <v>5</v>
      </c>
      <c r="K23" s="29" t="n">
        <v>5</v>
      </c>
      <c r="L23" s="29" t="n">
        <v>6</v>
      </c>
      <c r="M23" s="29" t="n">
        <v>6</v>
      </c>
      <c r="N23" s="30" t="n">
        <f aca="false">SUM(D23:M23)</f>
        <v>83</v>
      </c>
      <c r="O23" s="31" t="n">
        <f aca="false">COUNTIF(D23:M23,"&gt;0")</f>
        <v>8</v>
      </c>
      <c r="P23" s="32" t="n">
        <v>2</v>
      </c>
      <c r="Q23" s="32" t="n">
        <v>6</v>
      </c>
      <c r="R23" s="32" t="n">
        <v>2</v>
      </c>
    </row>
    <row r="24" customFormat="false" ht="15" hidden="false" customHeight="false" outlineLevel="0" collapsed="false">
      <c r="B24" s="28" t="n">
        <f aca="false">RANK(N24,$N$6:$N$25)</f>
        <v>19</v>
      </c>
      <c r="C24" s="18" t="s">
        <v>216</v>
      </c>
      <c r="D24" s="29" t="n">
        <v>7</v>
      </c>
      <c r="E24" s="29" t="n">
        <v>0</v>
      </c>
      <c r="F24" s="29" t="n">
        <v>6</v>
      </c>
      <c r="G24" s="29" t="n">
        <v>21</v>
      </c>
      <c r="H24" s="29" t="n">
        <v>4</v>
      </c>
      <c r="I24" s="29" t="n">
        <v>7</v>
      </c>
      <c r="J24" s="29" t="n">
        <v>0</v>
      </c>
      <c r="K24" s="29" t="n">
        <v>21</v>
      </c>
      <c r="L24" s="29" t="n">
        <v>8</v>
      </c>
      <c r="M24" s="29" t="n">
        <v>6</v>
      </c>
      <c r="N24" s="30" t="n">
        <f aca="false">SUM(D24:M24)</f>
        <v>80</v>
      </c>
      <c r="O24" s="31" t="n">
        <f aca="false">COUNTIF(D24:M24,"&gt;0")</f>
        <v>8</v>
      </c>
      <c r="P24" s="32" t="n">
        <v>2</v>
      </c>
      <c r="Q24" s="32" t="n">
        <v>6</v>
      </c>
      <c r="R24" s="32" t="n">
        <v>2</v>
      </c>
    </row>
    <row r="25" customFormat="false" ht="15" hidden="false" customHeight="false" outlineLevel="0" collapsed="false">
      <c r="B25" s="28" t="n">
        <f aca="false">RANK(N25,$N$6:$N$25)</f>
        <v>20</v>
      </c>
      <c r="C25" s="18" t="s">
        <v>217</v>
      </c>
      <c r="D25" s="29" t="n">
        <v>7</v>
      </c>
      <c r="E25" s="29" t="n">
        <v>21</v>
      </c>
      <c r="F25" s="29" t="n">
        <v>6</v>
      </c>
      <c r="G25" s="29" t="n">
        <v>9</v>
      </c>
      <c r="H25" s="29" t="n">
        <v>0</v>
      </c>
      <c r="I25" s="29" t="n">
        <v>5</v>
      </c>
      <c r="J25" s="29" t="n">
        <v>10</v>
      </c>
      <c r="K25" s="29" t="n">
        <v>8</v>
      </c>
      <c r="L25" s="29" t="n">
        <v>6</v>
      </c>
      <c r="M25" s="29" t="n">
        <v>0</v>
      </c>
      <c r="N25" s="30" t="n">
        <f aca="false">SUM(D25:M25)</f>
        <v>72</v>
      </c>
      <c r="O25" s="31" t="n">
        <f aca="false">COUNTIF(D25:M25,"&gt;0")</f>
        <v>8</v>
      </c>
      <c r="P25" s="32" t="n">
        <v>1</v>
      </c>
      <c r="Q25" s="32" t="n">
        <v>7</v>
      </c>
      <c r="R25" s="32" t="n">
        <v>2</v>
      </c>
    </row>
    <row r="27" customFormat="false" ht="15" hidden="false" customHeight="false" outlineLevel="0" collapsed="false">
      <c r="C27" s="33" t="s">
        <v>218</v>
      </c>
      <c r="O27" s="34" t="n">
        <f aca="false">SUM(O6:O25)</f>
        <v>160</v>
      </c>
      <c r="P27" s="34" t="n">
        <f aca="false">SUM(P6:P25)</f>
        <v>80</v>
      </c>
      <c r="Q27" s="34" t="n">
        <f aca="false">SUM(Q6:Q25)</f>
        <v>80</v>
      </c>
      <c r="R27" s="34" t="n">
        <f aca="false">SUM(R6:R25)</f>
        <v>40</v>
      </c>
    </row>
    <row r="28" customFormat="false" ht="15" hidden="false" customHeight="false" outlineLevel="0" collapsed="false">
      <c r="C28" s="3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0"/>
    <col collapsed="false" customWidth="true" hidden="false" outlineLevel="0" max="22" min="3" style="0" width="4"/>
  </cols>
  <sheetData>
    <row r="2" customFormat="false" ht="19.7" hidden="false" customHeight="false" outlineLevel="0" collapsed="false">
      <c r="B2" s="1" t="s">
        <v>220</v>
      </c>
    </row>
    <row r="3" customFormat="false" ht="15" hidden="false" customHeight="false" outlineLevel="0" collapsed="false">
      <c r="B3" s="8" t="s">
        <v>221</v>
      </c>
    </row>
    <row r="5" customFormat="false" ht="26.85" hidden="false" customHeight="false" outlineLevel="0" collapsed="false">
      <c r="C5" s="11" t="s">
        <v>222</v>
      </c>
      <c r="D5" s="11" t="s">
        <v>223</v>
      </c>
      <c r="E5" s="11" t="s">
        <v>224</v>
      </c>
      <c r="F5" s="11" t="s">
        <v>225</v>
      </c>
      <c r="G5" s="11" t="s">
        <v>226</v>
      </c>
      <c r="H5" s="11" t="s">
        <v>227</v>
      </c>
      <c r="I5" s="11" t="s">
        <v>228</v>
      </c>
      <c r="J5" s="11" t="s">
        <v>229</v>
      </c>
      <c r="K5" s="11" t="s">
        <v>230</v>
      </c>
      <c r="L5" s="11" t="s">
        <v>231</v>
      </c>
      <c r="M5" s="11" t="s">
        <v>232</v>
      </c>
      <c r="N5" s="11" t="s">
        <v>233</v>
      </c>
      <c r="O5" s="11" t="s">
        <v>234</v>
      </c>
      <c r="P5" s="11" t="s">
        <v>235</v>
      </c>
      <c r="Q5" s="11" t="s">
        <v>236</v>
      </c>
      <c r="R5" s="11" t="s">
        <v>237</v>
      </c>
      <c r="S5" s="11" t="s">
        <v>238</v>
      </c>
      <c r="T5" s="11" t="s">
        <v>239</v>
      </c>
      <c r="U5" s="11" t="s">
        <v>240</v>
      </c>
      <c r="V5" s="11" t="s">
        <v>241</v>
      </c>
    </row>
    <row r="6" customFormat="false" ht="15" hidden="false" customHeight="false" outlineLevel="0" collapsed="false">
      <c r="B6" s="36" t="s">
        <v>242</v>
      </c>
      <c r="C6" s="37"/>
      <c r="D6" s="38"/>
      <c r="E6" s="39" t="n">
        <v>1</v>
      </c>
      <c r="F6" s="39" t="n">
        <v>1</v>
      </c>
      <c r="G6" s="38"/>
      <c r="H6" s="39" t="n">
        <v>1</v>
      </c>
      <c r="I6" s="38"/>
      <c r="J6" s="38"/>
      <c r="K6" s="38"/>
      <c r="L6" s="39" t="n">
        <v>1</v>
      </c>
      <c r="M6" s="38"/>
      <c r="N6" s="38"/>
      <c r="O6" s="40" t="n">
        <v>2</v>
      </c>
      <c r="P6" s="38"/>
      <c r="Q6" s="39" t="n">
        <v>1</v>
      </c>
      <c r="R6" s="38"/>
      <c r="S6" s="38"/>
      <c r="T6" s="38"/>
      <c r="U6" s="38"/>
      <c r="V6" s="39" t="n">
        <v>1</v>
      </c>
    </row>
    <row r="7" customFormat="false" ht="15" hidden="false" customHeight="false" outlineLevel="0" collapsed="false">
      <c r="B7" s="36" t="s">
        <v>243</v>
      </c>
      <c r="C7" s="38"/>
      <c r="D7" s="37"/>
      <c r="E7" s="39" t="n">
        <v>1</v>
      </c>
      <c r="F7" s="38"/>
      <c r="G7" s="39" t="n">
        <v>1</v>
      </c>
      <c r="H7" s="39" t="n">
        <v>1</v>
      </c>
      <c r="I7" s="39" t="n">
        <v>1</v>
      </c>
      <c r="J7" s="38"/>
      <c r="K7" s="38"/>
      <c r="L7" s="38"/>
      <c r="M7" s="38"/>
      <c r="N7" s="39" t="n">
        <v>1</v>
      </c>
      <c r="O7" s="38"/>
      <c r="P7" s="39" t="n">
        <v>1</v>
      </c>
      <c r="Q7" s="39" t="n">
        <v>1</v>
      </c>
      <c r="R7" s="39" t="n">
        <v>1</v>
      </c>
      <c r="S7" s="38"/>
      <c r="T7" s="38"/>
      <c r="U7" s="38"/>
      <c r="V7" s="38"/>
    </row>
    <row r="8" customFormat="false" ht="15" hidden="false" customHeight="false" outlineLevel="0" collapsed="false">
      <c r="B8" s="36" t="s">
        <v>244</v>
      </c>
      <c r="C8" s="39" t="n">
        <v>1</v>
      </c>
      <c r="D8" s="39" t="n">
        <v>1</v>
      </c>
      <c r="E8" s="37"/>
      <c r="F8" s="39" t="n">
        <v>1</v>
      </c>
      <c r="G8" s="38"/>
      <c r="H8" s="39" t="n">
        <v>1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9" t="n">
        <v>1</v>
      </c>
      <c r="T8" s="39" t="n">
        <v>1</v>
      </c>
      <c r="U8" s="39" t="n">
        <v>1</v>
      </c>
      <c r="V8" s="39" t="n">
        <v>1</v>
      </c>
    </row>
    <row r="9" customFormat="false" ht="15" hidden="false" customHeight="false" outlineLevel="0" collapsed="false">
      <c r="B9" s="36" t="s">
        <v>245</v>
      </c>
      <c r="C9" s="39" t="n">
        <v>1</v>
      </c>
      <c r="D9" s="38"/>
      <c r="E9" s="39" t="n">
        <v>1</v>
      </c>
      <c r="F9" s="37"/>
      <c r="G9" s="38"/>
      <c r="H9" s="38"/>
      <c r="I9" s="39" t="n">
        <v>1</v>
      </c>
      <c r="J9" s="39" t="n">
        <v>1</v>
      </c>
      <c r="K9" s="38"/>
      <c r="L9" s="39" t="n">
        <v>1</v>
      </c>
      <c r="M9" s="38"/>
      <c r="N9" s="38"/>
      <c r="O9" s="39" t="n">
        <v>1</v>
      </c>
      <c r="P9" s="38"/>
      <c r="Q9" s="39" t="n">
        <v>1</v>
      </c>
      <c r="R9" s="38"/>
      <c r="S9" s="39" t="n">
        <v>1</v>
      </c>
      <c r="T9" s="38"/>
      <c r="U9" s="38"/>
      <c r="V9" s="38"/>
    </row>
    <row r="10" customFormat="false" ht="15" hidden="false" customHeight="false" outlineLevel="0" collapsed="false">
      <c r="B10" s="36" t="s">
        <v>246</v>
      </c>
      <c r="C10" s="38"/>
      <c r="D10" s="39" t="n">
        <v>1</v>
      </c>
      <c r="E10" s="38"/>
      <c r="F10" s="38"/>
      <c r="G10" s="37"/>
      <c r="H10" s="38"/>
      <c r="I10" s="39" t="n">
        <v>1</v>
      </c>
      <c r="J10" s="38"/>
      <c r="K10" s="39" t="n">
        <v>1</v>
      </c>
      <c r="L10" s="38"/>
      <c r="M10" s="38"/>
      <c r="N10" s="39" t="n">
        <v>1</v>
      </c>
      <c r="O10" s="38"/>
      <c r="P10" s="38"/>
      <c r="Q10" s="38"/>
      <c r="R10" s="39" t="n">
        <v>1</v>
      </c>
      <c r="S10" s="39" t="n">
        <v>1</v>
      </c>
      <c r="T10" s="38"/>
      <c r="U10" s="40" t="n">
        <v>2</v>
      </c>
      <c r="V10" s="38"/>
    </row>
    <row r="11" customFormat="false" ht="15" hidden="false" customHeight="false" outlineLevel="0" collapsed="false">
      <c r="B11" s="36" t="s">
        <v>247</v>
      </c>
      <c r="C11" s="39" t="n">
        <v>1</v>
      </c>
      <c r="D11" s="39" t="n">
        <v>1</v>
      </c>
      <c r="E11" s="39" t="n">
        <v>1</v>
      </c>
      <c r="F11" s="38"/>
      <c r="G11" s="38"/>
      <c r="H11" s="37"/>
      <c r="I11" s="38"/>
      <c r="J11" s="38"/>
      <c r="K11" s="38"/>
      <c r="L11" s="39" t="n">
        <v>1</v>
      </c>
      <c r="M11" s="39" t="n">
        <v>1</v>
      </c>
      <c r="N11" s="38"/>
      <c r="O11" s="39" t="n">
        <v>1</v>
      </c>
      <c r="P11" s="38"/>
      <c r="Q11" s="38"/>
      <c r="R11" s="38"/>
      <c r="S11" s="38"/>
      <c r="T11" s="39" t="n">
        <v>1</v>
      </c>
      <c r="U11" s="38"/>
      <c r="V11" s="39" t="n">
        <v>1</v>
      </c>
    </row>
    <row r="12" customFormat="false" ht="15" hidden="false" customHeight="false" outlineLevel="0" collapsed="false">
      <c r="B12" s="36" t="s">
        <v>248</v>
      </c>
      <c r="C12" s="38"/>
      <c r="D12" s="39" t="n">
        <v>1</v>
      </c>
      <c r="E12" s="38"/>
      <c r="F12" s="39" t="n">
        <v>1</v>
      </c>
      <c r="G12" s="39" t="n">
        <v>1</v>
      </c>
      <c r="H12" s="38"/>
      <c r="I12" s="37"/>
      <c r="J12" s="39" t="n">
        <v>1</v>
      </c>
      <c r="K12" s="39" t="n">
        <v>1</v>
      </c>
      <c r="L12" s="38"/>
      <c r="M12" s="38"/>
      <c r="N12" s="38"/>
      <c r="O12" s="38"/>
      <c r="P12" s="38"/>
      <c r="Q12" s="39" t="n">
        <v>1</v>
      </c>
      <c r="R12" s="39" t="n">
        <v>1</v>
      </c>
      <c r="S12" s="38"/>
      <c r="T12" s="38"/>
      <c r="U12" s="38"/>
      <c r="V12" s="39" t="n">
        <v>1</v>
      </c>
    </row>
    <row r="13" customFormat="false" ht="15" hidden="false" customHeight="false" outlineLevel="0" collapsed="false">
      <c r="B13" s="36" t="s">
        <v>249</v>
      </c>
      <c r="C13" s="38"/>
      <c r="D13" s="38"/>
      <c r="E13" s="38"/>
      <c r="F13" s="39" t="n">
        <v>1</v>
      </c>
      <c r="G13" s="38"/>
      <c r="H13" s="38"/>
      <c r="I13" s="39" t="n">
        <v>1</v>
      </c>
      <c r="J13" s="37"/>
      <c r="K13" s="39" t="n">
        <v>1</v>
      </c>
      <c r="L13" s="39" t="n">
        <v>1</v>
      </c>
      <c r="M13" s="39" t="n">
        <v>1</v>
      </c>
      <c r="N13" s="39" t="n">
        <v>1</v>
      </c>
      <c r="O13" s="39" t="n">
        <v>1</v>
      </c>
      <c r="P13" s="38"/>
      <c r="Q13" s="38"/>
      <c r="R13" s="38"/>
      <c r="S13" s="39" t="n">
        <v>1</v>
      </c>
      <c r="T13" s="38"/>
      <c r="U13" s="38"/>
      <c r="V13" s="38"/>
    </row>
    <row r="14" customFormat="false" ht="15" hidden="false" customHeight="false" outlineLevel="0" collapsed="false">
      <c r="B14" s="36" t="s">
        <v>250</v>
      </c>
      <c r="C14" s="38"/>
      <c r="D14" s="38"/>
      <c r="E14" s="38"/>
      <c r="F14" s="38"/>
      <c r="G14" s="39" t="n">
        <v>1</v>
      </c>
      <c r="H14" s="38"/>
      <c r="I14" s="39" t="n">
        <v>1</v>
      </c>
      <c r="J14" s="39" t="n">
        <v>1</v>
      </c>
      <c r="K14" s="37"/>
      <c r="L14" s="38"/>
      <c r="M14" s="38"/>
      <c r="N14" s="39" t="n">
        <v>1</v>
      </c>
      <c r="O14" s="38"/>
      <c r="P14" s="39" t="n">
        <v>1</v>
      </c>
      <c r="Q14" s="39" t="n">
        <v>1</v>
      </c>
      <c r="R14" s="39" t="n">
        <v>1</v>
      </c>
      <c r="S14" s="38"/>
      <c r="T14" s="38"/>
      <c r="U14" s="39" t="n">
        <v>1</v>
      </c>
      <c r="V14" s="38"/>
    </row>
    <row r="15" customFormat="false" ht="15" hidden="false" customHeight="false" outlineLevel="0" collapsed="false">
      <c r="B15" s="36" t="s">
        <v>251</v>
      </c>
      <c r="C15" s="39" t="n">
        <v>1</v>
      </c>
      <c r="D15" s="38"/>
      <c r="E15" s="38"/>
      <c r="F15" s="39" t="n">
        <v>1</v>
      </c>
      <c r="G15" s="38"/>
      <c r="H15" s="39" t="n">
        <v>1</v>
      </c>
      <c r="I15" s="38"/>
      <c r="J15" s="39" t="n">
        <v>1</v>
      </c>
      <c r="K15" s="38"/>
      <c r="L15" s="37"/>
      <c r="M15" s="39" t="n">
        <v>1</v>
      </c>
      <c r="N15" s="38"/>
      <c r="O15" s="39" t="n">
        <v>1</v>
      </c>
      <c r="P15" s="39" t="n">
        <v>1</v>
      </c>
      <c r="Q15" s="38"/>
      <c r="R15" s="38"/>
      <c r="S15" s="38"/>
      <c r="T15" s="39" t="n">
        <v>1</v>
      </c>
      <c r="U15" s="38"/>
      <c r="V15" s="38"/>
    </row>
    <row r="16" customFormat="false" ht="15" hidden="false" customHeight="false" outlineLevel="0" collapsed="false">
      <c r="B16" s="36" t="s">
        <v>252</v>
      </c>
      <c r="C16" s="38"/>
      <c r="D16" s="38"/>
      <c r="E16" s="38"/>
      <c r="F16" s="38"/>
      <c r="G16" s="38"/>
      <c r="H16" s="39" t="n">
        <v>1</v>
      </c>
      <c r="I16" s="38"/>
      <c r="J16" s="39" t="n">
        <v>1</v>
      </c>
      <c r="K16" s="38"/>
      <c r="L16" s="39" t="n">
        <v>1</v>
      </c>
      <c r="M16" s="37"/>
      <c r="N16" s="38"/>
      <c r="O16" s="39" t="n">
        <v>1</v>
      </c>
      <c r="P16" s="40" t="n">
        <v>2</v>
      </c>
      <c r="Q16" s="38"/>
      <c r="R16" s="38"/>
      <c r="S16" s="38"/>
      <c r="T16" s="39" t="n">
        <v>1</v>
      </c>
      <c r="U16" s="38"/>
      <c r="V16" s="39" t="n">
        <v>1</v>
      </c>
    </row>
    <row r="17" customFormat="false" ht="15" hidden="false" customHeight="false" outlineLevel="0" collapsed="false">
      <c r="B17" s="36" t="s">
        <v>253</v>
      </c>
      <c r="C17" s="38"/>
      <c r="D17" s="39" t="n">
        <v>1</v>
      </c>
      <c r="E17" s="38"/>
      <c r="F17" s="38"/>
      <c r="G17" s="39" t="n">
        <v>1</v>
      </c>
      <c r="H17" s="38"/>
      <c r="I17" s="38"/>
      <c r="J17" s="39" t="n">
        <v>1</v>
      </c>
      <c r="K17" s="39" t="n">
        <v>1</v>
      </c>
      <c r="L17" s="38"/>
      <c r="M17" s="38"/>
      <c r="N17" s="37"/>
      <c r="O17" s="38"/>
      <c r="P17" s="38"/>
      <c r="Q17" s="38"/>
      <c r="R17" s="39" t="n">
        <v>1</v>
      </c>
      <c r="S17" s="40" t="n">
        <v>2</v>
      </c>
      <c r="T17" s="39" t="n">
        <v>1</v>
      </c>
      <c r="U17" s="38"/>
      <c r="V17" s="38"/>
    </row>
    <row r="18" customFormat="false" ht="15" hidden="false" customHeight="false" outlineLevel="0" collapsed="false">
      <c r="B18" s="36" t="s">
        <v>254</v>
      </c>
      <c r="C18" s="40" t="n">
        <v>2</v>
      </c>
      <c r="D18" s="38"/>
      <c r="E18" s="38"/>
      <c r="F18" s="39" t="n">
        <v>1</v>
      </c>
      <c r="G18" s="38"/>
      <c r="H18" s="39" t="n">
        <v>1</v>
      </c>
      <c r="I18" s="38"/>
      <c r="J18" s="39" t="n">
        <v>1</v>
      </c>
      <c r="K18" s="38"/>
      <c r="L18" s="39" t="n">
        <v>1</v>
      </c>
      <c r="M18" s="39" t="n">
        <v>1</v>
      </c>
      <c r="N18" s="38"/>
      <c r="O18" s="37"/>
      <c r="P18" s="38"/>
      <c r="Q18" s="38"/>
      <c r="R18" s="38"/>
      <c r="S18" s="38"/>
      <c r="T18" s="39" t="n">
        <v>1</v>
      </c>
      <c r="U18" s="38"/>
      <c r="V18" s="38"/>
    </row>
    <row r="19" customFormat="false" ht="15" hidden="false" customHeight="false" outlineLevel="0" collapsed="false">
      <c r="B19" s="36" t="s">
        <v>255</v>
      </c>
      <c r="C19" s="38"/>
      <c r="D19" s="39" t="n">
        <v>1</v>
      </c>
      <c r="E19" s="38"/>
      <c r="F19" s="38"/>
      <c r="G19" s="38"/>
      <c r="H19" s="38"/>
      <c r="I19" s="38"/>
      <c r="J19" s="38"/>
      <c r="K19" s="39" t="n">
        <v>1</v>
      </c>
      <c r="L19" s="39" t="n">
        <v>1</v>
      </c>
      <c r="M19" s="40" t="n">
        <v>2</v>
      </c>
      <c r="N19" s="38"/>
      <c r="O19" s="38"/>
      <c r="P19" s="37"/>
      <c r="Q19" s="38"/>
      <c r="R19" s="39" t="n">
        <v>1</v>
      </c>
      <c r="S19" s="38"/>
      <c r="T19" s="39" t="n">
        <v>1</v>
      </c>
      <c r="U19" s="39" t="n">
        <v>1</v>
      </c>
      <c r="V19" s="38"/>
    </row>
    <row r="20" customFormat="false" ht="15" hidden="false" customHeight="false" outlineLevel="0" collapsed="false">
      <c r="B20" s="36" t="s">
        <v>256</v>
      </c>
      <c r="C20" s="39" t="n">
        <v>1</v>
      </c>
      <c r="D20" s="39" t="n">
        <v>1</v>
      </c>
      <c r="E20" s="38"/>
      <c r="F20" s="39" t="n">
        <v>1</v>
      </c>
      <c r="G20" s="38"/>
      <c r="H20" s="38"/>
      <c r="I20" s="39" t="n">
        <v>1</v>
      </c>
      <c r="J20" s="38"/>
      <c r="K20" s="39" t="n">
        <v>1</v>
      </c>
      <c r="L20" s="38"/>
      <c r="M20" s="38"/>
      <c r="N20" s="38"/>
      <c r="O20" s="38"/>
      <c r="P20" s="38"/>
      <c r="Q20" s="37"/>
      <c r="R20" s="39" t="n">
        <v>1</v>
      </c>
      <c r="S20" s="39" t="n">
        <v>1</v>
      </c>
      <c r="T20" s="38"/>
      <c r="U20" s="38"/>
      <c r="V20" s="39" t="n">
        <v>1</v>
      </c>
    </row>
    <row r="21" customFormat="false" ht="15" hidden="false" customHeight="false" outlineLevel="0" collapsed="false">
      <c r="B21" s="36" t="s">
        <v>257</v>
      </c>
      <c r="C21" s="38"/>
      <c r="D21" s="39" t="n">
        <v>1</v>
      </c>
      <c r="E21" s="38"/>
      <c r="F21" s="38"/>
      <c r="G21" s="39" t="n">
        <v>1</v>
      </c>
      <c r="H21" s="38"/>
      <c r="I21" s="39" t="n">
        <v>1</v>
      </c>
      <c r="J21" s="38"/>
      <c r="K21" s="39" t="n">
        <v>1</v>
      </c>
      <c r="L21" s="38"/>
      <c r="M21" s="38"/>
      <c r="N21" s="39" t="n">
        <v>1</v>
      </c>
      <c r="O21" s="38"/>
      <c r="P21" s="39" t="n">
        <v>1</v>
      </c>
      <c r="Q21" s="39" t="n">
        <v>1</v>
      </c>
      <c r="R21" s="37"/>
      <c r="S21" s="38"/>
      <c r="T21" s="38"/>
      <c r="U21" s="38"/>
      <c r="V21" s="39" t="n">
        <v>1</v>
      </c>
    </row>
    <row r="22" customFormat="false" ht="15" hidden="false" customHeight="false" outlineLevel="0" collapsed="false">
      <c r="B22" s="36" t="s">
        <v>258</v>
      </c>
      <c r="C22" s="38"/>
      <c r="D22" s="38"/>
      <c r="E22" s="39" t="n">
        <v>1</v>
      </c>
      <c r="F22" s="39" t="n">
        <v>1</v>
      </c>
      <c r="G22" s="39" t="n">
        <v>1</v>
      </c>
      <c r="H22" s="38"/>
      <c r="I22" s="38"/>
      <c r="J22" s="39" t="n">
        <v>1</v>
      </c>
      <c r="K22" s="38"/>
      <c r="L22" s="38"/>
      <c r="M22" s="38"/>
      <c r="N22" s="40" t="n">
        <v>2</v>
      </c>
      <c r="O22" s="38"/>
      <c r="P22" s="38"/>
      <c r="Q22" s="39" t="n">
        <v>1</v>
      </c>
      <c r="R22" s="38"/>
      <c r="S22" s="37"/>
      <c r="T22" s="38"/>
      <c r="U22" s="39" t="n">
        <v>1</v>
      </c>
      <c r="V22" s="38"/>
    </row>
    <row r="23" customFormat="false" ht="15" hidden="false" customHeight="false" outlineLevel="0" collapsed="false">
      <c r="B23" s="36" t="s">
        <v>259</v>
      </c>
      <c r="C23" s="38"/>
      <c r="D23" s="38"/>
      <c r="E23" s="39" t="n">
        <v>1</v>
      </c>
      <c r="F23" s="38"/>
      <c r="G23" s="38"/>
      <c r="H23" s="39" t="n">
        <v>1</v>
      </c>
      <c r="I23" s="38"/>
      <c r="J23" s="38"/>
      <c r="K23" s="38"/>
      <c r="L23" s="39" t="n">
        <v>1</v>
      </c>
      <c r="M23" s="39" t="n">
        <v>1</v>
      </c>
      <c r="N23" s="39" t="n">
        <v>1</v>
      </c>
      <c r="O23" s="39" t="n">
        <v>1</v>
      </c>
      <c r="P23" s="39" t="n">
        <v>1</v>
      </c>
      <c r="Q23" s="38"/>
      <c r="R23" s="38"/>
      <c r="S23" s="38"/>
      <c r="T23" s="37"/>
      <c r="U23" s="39" t="n">
        <v>1</v>
      </c>
      <c r="V23" s="38"/>
    </row>
    <row r="24" customFormat="false" ht="15" hidden="false" customHeight="false" outlineLevel="0" collapsed="false">
      <c r="B24" s="36" t="s">
        <v>260</v>
      </c>
      <c r="C24" s="38"/>
      <c r="D24" s="38"/>
      <c r="E24" s="39" t="n">
        <v>1</v>
      </c>
      <c r="F24" s="38"/>
      <c r="G24" s="40" t="n">
        <v>2</v>
      </c>
      <c r="H24" s="38"/>
      <c r="I24" s="38"/>
      <c r="J24" s="38"/>
      <c r="K24" s="39" t="n">
        <v>1</v>
      </c>
      <c r="L24" s="38"/>
      <c r="M24" s="38"/>
      <c r="N24" s="38"/>
      <c r="O24" s="38"/>
      <c r="P24" s="39" t="n">
        <v>1</v>
      </c>
      <c r="Q24" s="38"/>
      <c r="R24" s="38"/>
      <c r="S24" s="39" t="n">
        <v>1</v>
      </c>
      <c r="T24" s="39" t="n">
        <v>1</v>
      </c>
      <c r="U24" s="37"/>
      <c r="V24" s="39" t="n">
        <v>1</v>
      </c>
    </row>
    <row r="25" customFormat="false" ht="15" hidden="false" customHeight="false" outlineLevel="0" collapsed="false">
      <c r="B25" s="36" t="s">
        <v>261</v>
      </c>
      <c r="C25" s="39" t="n">
        <v>1</v>
      </c>
      <c r="D25" s="38"/>
      <c r="E25" s="39" t="n">
        <v>1</v>
      </c>
      <c r="F25" s="38"/>
      <c r="G25" s="38"/>
      <c r="H25" s="39" t="n">
        <v>1</v>
      </c>
      <c r="I25" s="39" t="n">
        <v>1</v>
      </c>
      <c r="J25" s="38"/>
      <c r="K25" s="38"/>
      <c r="L25" s="38"/>
      <c r="M25" s="39" t="n">
        <v>1</v>
      </c>
      <c r="N25" s="38"/>
      <c r="O25" s="38"/>
      <c r="P25" s="38"/>
      <c r="Q25" s="39" t="n">
        <v>1</v>
      </c>
      <c r="R25" s="39" t="n">
        <v>1</v>
      </c>
      <c r="S25" s="38"/>
      <c r="T25" s="38"/>
      <c r="U25" s="39" t="n">
        <v>1</v>
      </c>
      <c r="V25" s="37"/>
    </row>
    <row r="27" customFormat="false" ht="15" hidden="false" customHeight="false" outlineLevel="0" collapsed="false">
      <c r="B27" s="35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2026-05-14T22:19:48Z</dcterms:created>
  <dc:creator>openpyxl</dc:creator>
  <dc:description/>
  <dc:language>en-US</dc:language>
  <cp:lastModifiedBy/>
  <dcterms:modified xsi:type="dcterms:W3CDTF">2026-05-14T22:19:48Z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